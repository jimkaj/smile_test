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charts/chart1.xml" ContentType="application/vnd.openxmlformats-officedocument.drawingml.chart+xml"/>
  <Override PartName="/xl/drawings/drawing3.xml" ContentType="application/vnd.openxmlformats-officedocument.drawing+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defaultThemeVersion="124226"/>
  <bookViews>
    <workbookView xWindow="-15" yWindow="-15" windowWidth="18075" windowHeight="5070" activeTab="1"/>
  </bookViews>
  <sheets>
    <sheet name="MonkeyPaste" sheetId="1" r:id="rId1"/>
    <sheet name="DataInColumns" sheetId="2" r:id="rId2"/>
    <sheet name="Mean PS" sheetId="6" r:id="rId3"/>
    <sheet name="Murphy Decomp" sheetId="4" r:id="rId4"/>
    <sheet name="Var(d)" sheetId="7" r:id="rId5"/>
    <sheet name="DI" sheetId="5" r:id="rId6"/>
    <sheet name="CI" sheetId="3" r:id="rId7"/>
    <sheet name="Cov Decomp" sheetId="10" r:id="rId8"/>
    <sheet name="Bias" sheetId="11" r:id="rId9"/>
    <sheet name="Slope" sheetId="12" r:id="rId10"/>
    <sheet name="Scatter" sheetId="13" r:id="rId11"/>
    <sheet name="SsInfo" sheetId="14" r:id="rId12"/>
  </sheets>
  <definedNames>
    <definedName name="_xlnm._FilterDatabase" localSheetId="11" hidden="1">SsInfo!$A$1:$K$1</definedName>
    <definedName name="_xlnm.Print_Area" localSheetId="7">'Cov Decomp'!$A$1:$I$52</definedName>
    <definedName name="_xlnm.Print_Area" localSheetId="1">DataInColumns!$A$1:$D$101</definedName>
    <definedName name="_xlnm.Print_Area" localSheetId="3">'Murphy Decomp'!$A$1:$I$22</definedName>
  </definedNames>
  <calcPr calcId="145621" fullCalcOnLoad="1"/>
</workbook>
</file>

<file path=xl/calcChain.xml><?xml version="1.0" encoding="utf-8"?>
<calcChain xmlns="http://schemas.openxmlformats.org/spreadsheetml/2006/main">
  <c r="K3" i="2" l="1"/>
  <c r="K4" i="2"/>
  <c r="K5" i="2"/>
  <c r="K6" i="2"/>
  <c r="K7" i="2"/>
  <c r="K8" i="2"/>
  <c r="K9" i="2"/>
  <c r="K10" i="2"/>
  <c r="K11" i="2"/>
  <c r="K12" i="2"/>
  <c r="K13" i="2"/>
  <c r="K14" i="2"/>
  <c r="K15" i="2"/>
  <c r="K16" i="2"/>
  <c r="K17" i="2"/>
  <c r="K18" i="2"/>
  <c r="K19" i="2"/>
  <c r="K20" i="2"/>
  <c r="K21" i="2"/>
  <c r="K22" i="2"/>
  <c r="K23" i="2"/>
  <c r="K24" i="2"/>
  <c r="K25" i="2"/>
  <c r="K26" i="2"/>
  <c r="K27" i="2"/>
  <c r="K28" i="2"/>
  <c r="K29" i="2"/>
  <c r="K30" i="2"/>
  <c r="K31" i="2"/>
  <c r="K32" i="2"/>
  <c r="K33" i="2"/>
  <c r="K34" i="2"/>
  <c r="K35" i="2"/>
  <c r="K36" i="2"/>
  <c r="K37" i="2"/>
  <c r="K38" i="2"/>
  <c r="K39" i="2"/>
  <c r="K40" i="2"/>
  <c r="K41" i="2"/>
  <c r="K42" i="2"/>
  <c r="K43" i="2"/>
  <c r="K44" i="2"/>
  <c r="K45" i="2"/>
  <c r="K46" i="2"/>
  <c r="K47" i="2"/>
  <c r="K48" i="2"/>
  <c r="K49" i="2"/>
  <c r="K50" i="2"/>
  <c r="K51" i="2"/>
  <c r="K52" i="2"/>
  <c r="K53" i="2"/>
  <c r="K54" i="2"/>
  <c r="K55" i="2"/>
  <c r="K56" i="2"/>
  <c r="K57" i="2"/>
  <c r="K58" i="2"/>
  <c r="K59" i="2"/>
  <c r="K60" i="2"/>
  <c r="K61" i="2"/>
  <c r="K62" i="2"/>
  <c r="K63" i="2"/>
  <c r="K64" i="2"/>
  <c r="K65" i="2"/>
  <c r="K66" i="2"/>
  <c r="K67" i="2"/>
  <c r="K68" i="2"/>
  <c r="K69" i="2"/>
  <c r="K70" i="2"/>
  <c r="K71" i="2"/>
  <c r="K72" i="2"/>
  <c r="K73" i="2"/>
  <c r="K74" i="2"/>
  <c r="K75" i="2"/>
  <c r="K76" i="2"/>
  <c r="K77" i="2"/>
  <c r="K78" i="2"/>
  <c r="K79" i="2"/>
  <c r="K80" i="2"/>
  <c r="K81" i="2"/>
  <c r="K82" i="2"/>
  <c r="K83" i="2"/>
  <c r="K84" i="2"/>
  <c r="K85" i="2"/>
  <c r="K86" i="2"/>
  <c r="K87" i="2"/>
  <c r="K88" i="2"/>
  <c r="K89" i="2"/>
  <c r="K90" i="2"/>
  <c r="K91" i="2"/>
  <c r="K92" i="2"/>
  <c r="K93" i="2"/>
  <c r="K94" i="2"/>
  <c r="K95" i="2"/>
  <c r="K96" i="2"/>
  <c r="K97" i="2"/>
  <c r="K98" i="2"/>
  <c r="K99" i="2"/>
  <c r="K100" i="2"/>
  <c r="K101" i="2"/>
  <c r="K2" i="2"/>
  <c r="I3" i="2"/>
  <c r="C3" i="2" s="1"/>
  <c r="C13" i="13" s="1"/>
  <c r="I4" i="2"/>
  <c r="C4" i="2" s="1"/>
  <c r="C14" i="13" s="1"/>
  <c r="I5" i="2"/>
  <c r="C5" i="2" s="1"/>
  <c r="C15" i="13" s="1"/>
  <c r="I6" i="2"/>
  <c r="C6" i="2" s="1"/>
  <c r="C16" i="13" s="1"/>
  <c r="I7" i="2"/>
  <c r="C7" i="2" s="1"/>
  <c r="C17" i="13" s="1"/>
  <c r="I8" i="2"/>
  <c r="C8" i="2" s="1"/>
  <c r="C18" i="13" s="1"/>
  <c r="I9" i="2"/>
  <c r="C9" i="2" s="1"/>
  <c r="C19" i="13" s="1"/>
  <c r="I10" i="2"/>
  <c r="C10" i="2" s="1"/>
  <c r="C20" i="13" s="1"/>
  <c r="I11" i="2"/>
  <c r="C11" i="2" s="1"/>
  <c r="C21" i="13" s="1"/>
  <c r="I12" i="2"/>
  <c r="C12" i="2" s="1"/>
  <c r="C22" i="13" s="1"/>
  <c r="I13" i="2"/>
  <c r="C13" i="2" s="1"/>
  <c r="C23" i="13" s="1"/>
  <c r="I14" i="2"/>
  <c r="C14" i="2" s="1"/>
  <c r="C24" i="13" s="1"/>
  <c r="I15" i="2"/>
  <c r="C15" i="2" s="1"/>
  <c r="C25" i="13" s="1"/>
  <c r="I16" i="2"/>
  <c r="C16" i="2" s="1"/>
  <c r="C26" i="13" s="1"/>
  <c r="I17" i="2"/>
  <c r="C17" i="2" s="1"/>
  <c r="C27" i="13" s="1"/>
  <c r="I18" i="2"/>
  <c r="C18" i="2" s="1"/>
  <c r="C28" i="13" s="1"/>
  <c r="I19" i="2"/>
  <c r="C19" i="2" s="1"/>
  <c r="C29" i="13" s="1"/>
  <c r="I20" i="2"/>
  <c r="C20" i="2" s="1"/>
  <c r="C30" i="13" s="1"/>
  <c r="I21" i="2"/>
  <c r="C21" i="2" s="1"/>
  <c r="C31" i="13" s="1"/>
  <c r="I22" i="2"/>
  <c r="C22" i="2" s="1"/>
  <c r="C32" i="13" s="1"/>
  <c r="I23" i="2"/>
  <c r="C23" i="2" s="1"/>
  <c r="C33" i="13" s="1"/>
  <c r="I24" i="2"/>
  <c r="C24" i="2" s="1"/>
  <c r="C34" i="13" s="1"/>
  <c r="I25" i="2"/>
  <c r="C25" i="2" s="1"/>
  <c r="C35" i="13" s="1"/>
  <c r="I26" i="2"/>
  <c r="C26" i="2" s="1"/>
  <c r="C36" i="13" s="1"/>
  <c r="I27" i="2"/>
  <c r="C27" i="2" s="1"/>
  <c r="C37" i="13" s="1"/>
  <c r="I28" i="2"/>
  <c r="C28" i="2" s="1"/>
  <c r="C38" i="13" s="1"/>
  <c r="I29" i="2"/>
  <c r="C29" i="2" s="1"/>
  <c r="C39" i="13" s="1"/>
  <c r="I30" i="2"/>
  <c r="C30" i="2" s="1"/>
  <c r="C40" i="13" s="1"/>
  <c r="I31" i="2"/>
  <c r="C31" i="2" s="1"/>
  <c r="C41" i="13" s="1"/>
  <c r="I32" i="2"/>
  <c r="C32" i="2" s="1"/>
  <c r="C42" i="13" s="1"/>
  <c r="I33" i="2"/>
  <c r="C33" i="2" s="1"/>
  <c r="C43" i="13" s="1"/>
  <c r="I34" i="2"/>
  <c r="C34" i="2" s="1"/>
  <c r="C44" i="13" s="1"/>
  <c r="I35" i="2"/>
  <c r="C35" i="2" s="1"/>
  <c r="C45" i="13" s="1"/>
  <c r="I36" i="2"/>
  <c r="C36" i="2" s="1"/>
  <c r="C46" i="13" s="1"/>
  <c r="I37" i="2"/>
  <c r="C37" i="2" s="1"/>
  <c r="C47" i="13" s="1"/>
  <c r="I38" i="2"/>
  <c r="C38" i="2" s="1"/>
  <c r="C48" i="13" s="1"/>
  <c r="I39" i="2"/>
  <c r="C39" i="2" s="1"/>
  <c r="C49" i="13" s="1"/>
  <c r="I40" i="2"/>
  <c r="C40" i="2" s="1"/>
  <c r="C50" i="13" s="1"/>
  <c r="I41" i="2"/>
  <c r="C41" i="2" s="1"/>
  <c r="C51" i="13" s="1"/>
  <c r="I42" i="2"/>
  <c r="C42" i="2" s="1"/>
  <c r="C52" i="13" s="1"/>
  <c r="I43" i="2"/>
  <c r="C43" i="2" s="1"/>
  <c r="C53" i="13" s="1"/>
  <c r="I44" i="2"/>
  <c r="C44" i="2" s="1"/>
  <c r="C54" i="13" s="1"/>
  <c r="I45" i="2"/>
  <c r="C45" i="2" s="1"/>
  <c r="C55" i="13" s="1"/>
  <c r="I46" i="2"/>
  <c r="C46" i="2" s="1"/>
  <c r="C56" i="13" s="1"/>
  <c r="I47" i="2"/>
  <c r="C47" i="2" s="1"/>
  <c r="C57" i="13" s="1"/>
  <c r="I48" i="2"/>
  <c r="C48" i="2" s="1"/>
  <c r="C58" i="13" s="1"/>
  <c r="I49" i="2"/>
  <c r="C49" i="2" s="1"/>
  <c r="C59" i="13" s="1"/>
  <c r="I50" i="2"/>
  <c r="C50" i="2" s="1"/>
  <c r="C60" i="13" s="1"/>
  <c r="I51" i="2"/>
  <c r="C51" i="2" s="1"/>
  <c r="C61" i="13" s="1"/>
  <c r="I52" i="2"/>
  <c r="C52" i="2" s="1"/>
  <c r="C62" i="13" s="1"/>
  <c r="I53" i="2"/>
  <c r="C53" i="2" s="1"/>
  <c r="C63" i="13" s="1"/>
  <c r="I54" i="2"/>
  <c r="C54" i="2" s="1"/>
  <c r="C64" i="13" s="1"/>
  <c r="I55" i="2"/>
  <c r="C55" i="2" s="1"/>
  <c r="C65" i="13" s="1"/>
  <c r="I56" i="2"/>
  <c r="C56" i="2" s="1"/>
  <c r="C66" i="13" s="1"/>
  <c r="I57" i="2"/>
  <c r="C57" i="2" s="1"/>
  <c r="C67" i="13" s="1"/>
  <c r="I58" i="2"/>
  <c r="C58" i="2" s="1"/>
  <c r="C68" i="13" s="1"/>
  <c r="I59" i="2"/>
  <c r="C59" i="2" s="1"/>
  <c r="C69" i="13" s="1"/>
  <c r="I60" i="2"/>
  <c r="C60" i="2" s="1"/>
  <c r="C70" i="13" s="1"/>
  <c r="I61" i="2"/>
  <c r="C61" i="2" s="1"/>
  <c r="C71" i="13" s="1"/>
  <c r="I62" i="2"/>
  <c r="C62" i="2" s="1"/>
  <c r="C72" i="13" s="1"/>
  <c r="I63" i="2"/>
  <c r="C63" i="2" s="1"/>
  <c r="C73" i="13" s="1"/>
  <c r="I64" i="2"/>
  <c r="C64" i="2" s="1"/>
  <c r="C74" i="13" s="1"/>
  <c r="I65" i="2"/>
  <c r="C65" i="2" s="1"/>
  <c r="C75" i="13" s="1"/>
  <c r="I66" i="2"/>
  <c r="C66" i="2" s="1"/>
  <c r="C76" i="13" s="1"/>
  <c r="I67" i="2"/>
  <c r="C67" i="2" s="1"/>
  <c r="C77" i="13" s="1"/>
  <c r="I68" i="2"/>
  <c r="C68" i="2" s="1"/>
  <c r="C78" i="13" s="1"/>
  <c r="I69" i="2"/>
  <c r="C69" i="2" s="1"/>
  <c r="C79" i="13" s="1"/>
  <c r="I70" i="2"/>
  <c r="C70" i="2" s="1"/>
  <c r="C80" i="13" s="1"/>
  <c r="I71" i="2"/>
  <c r="C71" i="2" s="1"/>
  <c r="C81" i="13" s="1"/>
  <c r="I72" i="2"/>
  <c r="C72" i="2" s="1"/>
  <c r="C82" i="13" s="1"/>
  <c r="I73" i="2"/>
  <c r="C73" i="2" s="1"/>
  <c r="C83" i="13" s="1"/>
  <c r="I74" i="2"/>
  <c r="C74" i="2" s="1"/>
  <c r="C84" i="13" s="1"/>
  <c r="I75" i="2"/>
  <c r="C75" i="2" s="1"/>
  <c r="C85" i="13" s="1"/>
  <c r="I76" i="2"/>
  <c r="C76" i="2" s="1"/>
  <c r="C86" i="13" s="1"/>
  <c r="I77" i="2"/>
  <c r="C77" i="2" s="1"/>
  <c r="C87" i="13" s="1"/>
  <c r="I78" i="2"/>
  <c r="C78" i="2" s="1"/>
  <c r="C88" i="13" s="1"/>
  <c r="I79" i="2"/>
  <c r="C79" i="2" s="1"/>
  <c r="C89" i="13" s="1"/>
  <c r="I80" i="2"/>
  <c r="C80" i="2" s="1"/>
  <c r="C90" i="13" s="1"/>
  <c r="I81" i="2"/>
  <c r="C81" i="2" s="1"/>
  <c r="C91" i="13" s="1"/>
  <c r="I82" i="2"/>
  <c r="C82" i="2" s="1"/>
  <c r="C92" i="13" s="1"/>
  <c r="I83" i="2"/>
  <c r="C83" i="2" s="1"/>
  <c r="C93" i="13" s="1"/>
  <c r="I84" i="2"/>
  <c r="C84" i="2" s="1"/>
  <c r="C94" i="13" s="1"/>
  <c r="I85" i="2"/>
  <c r="C85" i="2" s="1"/>
  <c r="C95" i="13" s="1"/>
  <c r="I86" i="2"/>
  <c r="C86" i="2" s="1"/>
  <c r="C96" i="13" s="1"/>
  <c r="I87" i="2"/>
  <c r="C87" i="2" s="1"/>
  <c r="C97" i="13" s="1"/>
  <c r="I88" i="2"/>
  <c r="C88" i="2" s="1"/>
  <c r="C98" i="13" s="1"/>
  <c r="I89" i="2"/>
  <c r="C89" i="2" s="1"/>
  <c r="C99" i="13" s="1"/>
  <c r="I90" i="2"/>
  <c r="C90" i="2" s="1"/>
  <c r="C100" i="13" s="1"/>
  <c r="I91" i="2"/>
  <c r="C91" i="2" s="1"/>
  <c r="C101" i="13" s="1"/>
  <c r="I92" i="2"/>
  <c r="C92" i="2" s="1"/>
  <c r="C102" i="13" s="1"/>
  <c r="I93" i="2"/>
  <c r="C93" i="2" s="1"/>
  <c r="C103" i="13" s="1"/>
  <c r="I94" i="2"/>
  <c r="C94" i="2" s="1"/>
  <c r="C104" i="13" s="1"/>
  <c r="I95" i="2"/>
  <c r="C95" i="2" s="1"/>
  <c r="E95" i="2" s="1"/>
  <c r="I96" i="2"/>
  <c r="C96" i="2" s="1"/>
  <c r="C106" i="13" s="1"/>
  <c r="I97" i="2"/>
  <c r="C97" i="2" s="1"/>
  <c r="C107" i="13" s="1"/>
  <c r="I98" i="2"/>
  <c r="C98" i="2" s="1"/>
  <c r="C108" i="13" s="1"/>
  <c r="I99" i="2"/>
  <c r="C99" i="2" s="1"/>
  <c r="C109" i="13" s="1"/>
  <c r="I100" i="2"/>
  <c r="C100" i="2" s="1"/>
  <c r="C110" i="13" s="1"/>
  <c r="I101" i="2"/>
  <c r="C101" i="2" s="1"/>
  <c r="C111" i="13" s="1"/>
  <c r="I2" i="2"/>
  <c r="C2" i="2" s="1"/>
  <c r="E2" i="2" s="1"/>
  <c r="J3" i="2"/>
  <c r="J4" i="2"/>
  <c r="J5" i="2"/>
  <c r="J6" i="2"/>
  <c r="J7" i="2"/>
  <c r="J8" i="2"/>
  <c r="J9" i="2"/>
  <c r="J10" i="2"/>
  <c r="J11" i="2"/>
  <c r="J12" i="2"/>
  <c r="J13" i="2"/>
  <c r="J14" i="2"/>
  <c r="J15" i="2"/>
  <c r="J16" i="2"/>
  <c r="J17" i="2"/>
  <c r="J18" i="2"/>
  <c r="J19" i="2"/>
  <c r="J20" i="2"/>
  <c r="J21" i="2"/>
  <c r="J22" i="2"/>
  <c r="J23" i="2"/>
  <c r="J24" i="2"/>
  <c r="J25" i="2"/>
  <c r="J26" i="2"/>
  <c r="J27" i="2"/>
  <c r="J28" i="2"/>
  <c r="J29" i="2"/>
  <c r="J30" i="2"/>
  <c r="J31" i="2"/>
  <c r="J32" i="2"/>
  <c r="J33" i="2"/>
  <c r="J34" i="2"/>
  <c r="J35" i="2"/>
  <c r="J36" i="2"/>
  <c r="J37" i="2"/>
  <c r="J38" i="2"/>
  <c r="J39" i="2"/>
  <c r="J40" i="2"/>
  <c r="J41" i="2"/>
  <c r="J42" i="2"/>
  <c r="J43" i="2"/>
  <c r="J44" i="2"/>
  <c r="J45" i="2"/>
  <c r="J46" i="2"/>
  <c r="J47" i="2"/>
  <c r="J48" i="2"/>
  <c r="J49" i="2"/>
  <c r="J50" i="2"/>
  <c r="J51" i="2"/>
  <c r="J52" i="2"/>
  <c r="J53" i="2"/>
  <c r="J54" i="2"/>
  <c r="J55" i="2"/>
  <c r="J56" i="2"/>
  <c r="J57" i="2"/>
  <c r="J58" i="2"/>
  <c r="J59" i="2"/>
  <c r="J60" i="2"/>
  <c r="J61" i="2"/>
  <c r="J62" i="2"/>
  <c r="J63" i="2"/>
  <c r="J64" i="2"/>
  <c r="J65" i="2"/>
  <c r="J66" i="2"/>
  <c r="J67" i="2"/>
  <c r="J68" i="2"/>
  <c r="J69" i="2"/>
  <c r="J70" i="2"/>
  <c r="J71" i="2"/>
  <c r="J72" i="2"/>
  <c r="J73" i="2"/>
  <c r="J74" i="2"/>
  <c r="J75" i="2"/>
  <c r="J76" i="2"/>
  <c r="J77" i="2"/>
  <c r="J78" i="2"/>
  <c r="J79" i="2"/>
  <c r="J80" i="2"/>
  <c r="J81" i="2"/>
  <c r="J82" i="2"/>
  <c r="J83" i="2"/>
  <c r="J84" i="2"/>
  <c r="J85" i="2"/>
  <c r="J86" i="2"/>
  <c r="J87" i="2"/>
  <c r="J88" i="2"/>
  <c r="J89" i="2"/>
  <c r="J90" i="2"/>
  <c r="J91" i="2"/>
  <c r="J92" i="2"/>
  <c r="J93" i="2"/>
  <c r="J94" i="2"/>
  <c r="J95" i="2"/>
  <c r="J96" i="2"/>
  <c r="J97" i="2"/>
  <c r="J98" i="2"/>
  <c r="J99" i="2"/>
  <c r="J100" i="2"/>
  <c r="J101" i="2"/>
  <c r="J2" i="2"/>
  <c r="G18" i="14"/>
  <c r="F18" i="14"/>
  <c r="E18" i="14"/>
  <c r="C18" i="14"/>
  <c r="B18" i="14"/>
  <c r="D18" i="14"/>
  <c r="B2" i="4"/>
  <c r="B42" i="10"/>
  <c r="B2" i="10"/>
  <c r="A1" i="10"/>
  <c r="B41" i="10" s="1"/>
  <c r="B111" i="13"/>
  <c r="E111" i="13" s="1"/>
  <c r="A111" i="13"/>
  <c r="B110" i="13"/>
  <c r="A110" i="13"/>
  <c r="B109" i="13"/>
  <c r="E109" i="13" s="1"/>
  <c r="A109" i="13"/>
  <c r="B108" i="13"/>
  <c r="E108" i="13" s="1"/>
  <c r="A108" i="13"/>
  <c r="B107" i="13"/>
  <c r="E107" i="13" s="1"/>
  <c r="A107" i="13"/>
  <c r="B106" i="13"/>
  <c r="E106" i="13" s="1"/>
  <c r="A106" i="13"/>
  <c r="B105" i="13"/>
  <c r="A105" i="13"/>
  <c r="B104" i="13"/>
  <c r="E104" i="13" s="1"/>
  <c r="A104" i="13"/>
  <c r="B103" i="13"/>
  <c r="A103" i="13"/>
  <c r="B102" i="13"/>
  <c r="A102" i="13"/>
  <c r="B101" i="13"/>
  <c r="E101" i="13" s="1"/>
  <c r="A101" i="13"/>
  <c r="B100" i="13"/>
  <c r="A100" i="13"/>
  <c r="B99" i="13"/>
  <c r="E99" i="13" s="1"/>
  <c r="A99" i="13"/>
  <c r="B98" i="13"/>
  <c r="E98" i="13" s="1"/>
  <c r="A98" i="13"/>
  <c r="B97" i="13"/>
  <c r="E97" i="13" s="1"/>
  <c r="A97" i="13"/>
  <c r="B96" i="13"/>
  <c r="A96" i="13"/>
  <c r="B95" i="13"/>
  <c r="A95" i="13"/>
  <c r="B94" i="13"/>
  <c r="A94" i="13"/>
  <c r="B93" i="13"/>
  <c r="A93" i="13"/>
  <c r="B92" i="13"/>
  <c r="A92" i="13"/>
  <c r="B91" i="13"/>
  <c r="E91" i="13" s="1"/>
  <c r="A91" i="13"/>
  <c r="B90" i="13"/>
  <c r="A90" i="13"/>
  <c r="B89" i="13"/>
  <c r="A89" i="13"/>
  <c r="B88" i="13"/>
  <c r="A88" i="13"/>
  <c r="B87" i="13"/>
  <c r="A87" i="13"/>
  <c r="B86" i="13"/>
  <c r="A86" i="13"/>
  <c r="B85" i="13"/>
  <c r="A85" i="13"/>
  <c r="B84" i="13"/>
  <c r="A84" i="13"/>
  <c r="B83" i="13"/>
  <c r="A83" i="13"/>
  <c r="B82" i="13"/>
  <c r="E82" i="13" s="1"/>
  <c r="A82" i="13"/>
  <c r="B81" i="13"/>
  <c r="E81" i="13" s="1"/>
  <c r="A81" i="13"/>
  <c r="B80" i="13"/>
  <c r="E80" i="13" s="1"/>
  <c r="A80" i="13"/>
  <c r="B79" i="13"/>
  <c r="A79" i="13"/>
  <c r="B78" i="13"/>
  <c r="E78" i="13" s="1"/>
  <c r="A78" i="13"/>
  <c r="B77" i="13"/>
  <c r="E77" i="13" s="1"/>
  <c r="A77" i="13"/>
  <c r="B76" i="13"/>
  <c r="E76" i="13" s="1"/>
  <c r="A76" i="13"/>
  <c r="B75" i="13"/>
  <c r="A75" i="13"/>
  <c r="B74" i="13"/>
  <c r="A74" i="13"/>
  <c r="B73" i="13"/>
  <c r="E73" i="13" s="1"/>
  <c r="A73" i="13"/>
  <c r="B72" i="13"/>
  <c r="E72" i="13" s="1"/>
  <c r="A72" i="13"/>
  <c r="B71" i="13"/>
  <c r="A71" i="13"/>
  <c r="B70" i="13"/>
  <c r="E70" i="13" s="1"/>
  <c r="A70" i="13"/>
  <c r="B69" i="13"/>
  <c r="E69" i="13" s="1"/>
  <c r="A69" i="13"/>
  <c r="B68" i="13"/>
  <c r="E68" i="13" s="1"/>
  <c r="A68" i="13"/>
  <c r="B67" i="13"/>
  <c r="A67" i="13"/>
  <c r="B66" i="13"/>
  <c r="A66" i="13"/>
  <c r="B65" i="13"/>
  <c r="A65" i="13"/>
  <c r="B64" i="13"/>
  <c r="A64" i="13"/>
  <c r="B63" i="13"/>
  <c r="A63" i="13"/>
  <c r="B62" i="13"/>
  <c r="A62" i="13"/>
  <c r="B61" i="13"/>
  <c r="A61" i="13"/>
  <c r="B60" i="13"/>
  <c r="A60" i="13"/>
  <c r="B59" i="13"/>
  <c r="D59" i="13" s="1"/>
  <c r="A59" i="13"/>
  <c r="B58" i="13"/>
  <c r="A58" i="13"/>
  <c r="B57" i="13"/>
  <c r="A57" i="13"/>
  <c r="B56" i="13"/>
  <c r="D56" i="13" s="1"/>
  <c r="A56" i="13"/>
  <c r="B55" i="13"/>
  <c r="D55" i="13" s="1"/>
  <c r="A55" i="13"/>
  <c r="B54" i="13"/>
  <c r="A54" i="13"/>
  <c r="B53" i="13"/>
  <c r="A53" i="13"/>
  <c r="B52" i="13"/>
  <c r="A52" i="13"/>
  <c r="B51" i="13"/>
  <c r="A51" i="13"/>
  <c r="B50" i="13"/>
  <c r="A50" i="13"/>
  <c r="B49" i="13"/>
  <c r="D49" i="13" s="1"/>
  <c r="A49" i="13"/>
  <c r="B48" i="13"/>
  <c r="A48" i="13"/>
  <c r="B47" i="13"/>
  <c r="A47" i="13"/>
  <c r="B46" i="13"/>
  <c r="D46" i="13" s="1"/>
  <c r="A46" i="13"/>
  <c r="B45" i="13"/>
  <c r="D45" i="13" s="1"/>
  <c r="A45" i="13"/>
  <c r="B44" i="13"/>
  <c r="A44" i="13"/>
  <c r="B43" i="13"/>
  <c r="D43" i="13" s="1"/>
  <c r="A43" i="13"/>
  <c r="B42" i="13"/>
  <c r="D42" i="13" s="1"/>
  <c r="A42" i="13"/>
  <c r="B41" i="13"/>
  <c r="A41" i="13"/>
  <c r="B40" i="13"/>
  <c r="A40" i="13"/>
  <c r="B39" i="13"/>
  <c r="A39" i="13"/>
  <c r="B38" i="13"/>
  <c r="D38" i="13" s="1"/>
  <c r="A38" i="13"/>
  <c r="B37" i="13"/>
  <c r="A37" i="13"/>
  <c r="B36" i="13"/>
  <c r="A36" i="13"/>
  <c r="B35" i="13"/>
  <c r="A35" i="13"/>
  <c r="B34" i="13"/>
  <c r="A34" i="13"/>
  <c r="B33" i="13"/>
  <c r="D33" i="13" s="1"/>
  <c r="A33" i="13"/>
  <c r="B32" i="13"/>
  <c r="D32" i="13" s="1"/>
  <c r="A32" i="13"/>
  <c r="B31" i="13"/>
  <c r="A31" i="13"/>
  <c r="B30" i="13"/>
  <c r="A30" i="13"/>
  <c r="B29" i="13"/>
  <c r="A29" i="13"/>
  <c r="B28" i="13"/>
  <c r="D28" i="13" s="1"/>
  <c r="A28" i="13"/>
  <c r="B27" i="13"/>
  <c r="D27" i="13" s="1"/>
  <c r="A27" i="13"/>
  <c r="B26" i="13"/>
  <c r="D26" i="13" s="1"/>
  <c r="A26" i="13"/>
  <c r="B25" i="13"/>
  <c r="D25" i="13" s="1"/>
  <c r="A25" i="13"/>
  <c r="B24" i="13"/>
  <c r="A24" i="13"/>
  <c r="B23" i="13"/>
  <c r="D23" i="13" s="1"/>
  <c r="A23" i="13"/>
  <c r="B22" i="13"/>
  <c r="A22" i="13"/>
  <c r="B21" i="13"/>
  <c r="D21" i="13" s="1"/>
  <c r="A21" i="13"/>
  <c r="B20" i="13"/>
  <c r="D20" i="13" s="1"/>
  <c r="A20" i="13"/>
  <c r="B19" i="13"/>
  <c r="D19" i="13" s="1"/>
  <c r="A19" i="13"/>
  <c r="B18" i="13"/>
  <c r="A18" i="13"/>
  <c r="B17" i="13"/>
  <c r="A17" i="13"/>
  <c r="B16" i="13"/>
  <c r="A16" i="13"/>
  <c r="B15" i="13"/>
  <c r="A15" i="13"/>
  <c r="B14" i="13"/>
  <c r="D14" i="13" s="1"/>
  <c r="A14" i="13"/>
  <c r="B13" i="13"/>
  <c r="A13" i="13"/>
  <c r="B12" i="13"/>
  <c r="D12" i="13" s="1"/>
  <c r="A12" i="13"/>
  <c r="C11" i="13"/>
  <c r="B11" i="13"/>
  <c r="A11" i="13"/>
  <c r="A102" i="12"/>
  <c r="B102" i="12"/>
  <c r="A103" i="12"/>
  <c r="B103" i="12"/>
  <c r="E103" i="12" s="1"/>
  <c r="C103" i="12"/>
  <c r="D103" i="12" s="1"/>
  <c r="A104" i="12"/>
  <c r="B104" i="12"/>
  <c r="E104" i="12" s="1"/>
  <c r="C104" i="12"/>
  <c r="D104" i="12" s="1"/>
  <c r="A105" i="12"/>
  <c r="B105" i="12"/>
  <c r="E105" i="12" s="1"/>
  <c r="C105" i="12"/>
  <c r="D105" i="12" s="1"/>
  <c r="A106" i="12"/>
  <c r="B106" i="12"/>
  <c r="E106" i="12" s="1"/>
  <c r="C106" i="12"/>
  <c r="D106" i="12" s="1"/>
  <c r="A107" i="12"/>
  <c r="B107" i="12"/>
  <c r="A108" i="12"/>
  <c r="B108" i="12"/>
  <c r="E108" i="12" s="1"/>
  <c r="A32" i="12"/>
  <c r="B32" i="12"/>
  <c r="C32" i="12"/>
  <c r="D32" i="12" s="1"/>
  <c r="A33" i="12"/>
  <c r="B33" i="12"/>
  <c r="C33" i="12"/>
  <c r="A34" i="12"/>
  <c r="B34" i="12"/>
  <c r="C34" i="12"/>
  <c r="D34" i="12" s="1"/>
  <c r="A35" i="12"/>
  <c r="B35" i="12"/>
  <c r="D35" i="12" s="1"/>
  <c r="A36" i="12"/>
  <c r="B36" i="12"/>
  <c r="A37" i="12"/>
  <c r="B37" i="12"/>
  <c r="A38" i="12"/>
  <c r="B38" i="12"/>
  <c r="C38" i="12"/>
  <c r="D38" i="12" s="1"/>
  <c r="A39" i="12"/>
  <c r="B39" i="12"/>
  <c r="D39" i="12" s="1"/>
  <c r="C39" i="12"/>
  <c r="A40" i="12"/>
  <c r="B40" i="12"/>
  <c r="D40" i="12" s="1"/>
  <c r="C40" i="12"/>
  <c r="E40" i="12" s="1"/>
  <c r="A41" i="12"/>
  <c r="B41" i="12"/>
  <c r="C41" i="12"/>
  <c r="A42" i="12"/>
  <c r="B42" i="12"/>
  <c r="D42" i="12" s="1"/>
  <c r="C42" i="12"/>
  <c r="E42" i="12" s="1"/>
  <c r="A43" i="12"/>
  <c r="B43" i="12"/>
  <c r="D43" i="12" s="1"/>
  <c r="A44" i="12"/>
  <c r="B44" i="12"/>
  <c r="A45" i="12"/>
  <c r="B45" i="12"/>
  <c r="A46" i="12"/>
  <c r="B46" i="12"/>
  <c r="D46" i="12" s="1"/>
  <c r="C46" i="12"/>
  <c r="E46" i="12" s="1"/>
  <c r="A47" i="12"/>
  <c r="B47" i="12"/>
  <c r="C47" i="12"/>
  <c r="A48" i="12"/>
  <c r="B48" i="12"/>
  <c r="C48" i="12"/>
  <c r="D48" i="12" s="1"/>
  <c r="A49" i="12"/>
  <c r="B49" i="12"/>
  <c r="C49" i="12"/>
  <c r="A50" i="12"/>
  <c r="B50" i="12"/>
  <c r="C50" i="12"/>
  <c r="D50" i="12" s="1"/>
  <c r="A51" i="12"/>
  <c r="B51" i="12"/>
  <c r="A52" i="12"/>
  <c r="B52" i="12"/>
  <c r="D52" i="12" s="1"/>
  <c r="A53" i="12"/>
  <c r="B53" i="12"/>
  <c r="D53" i="12" s="1"/>
  <c r="A54" i="12"/>
  <c r="B54" i="12"/>
  <c r="C54" i="12"/>
  <c r="D54" i="12" s="1"/>
  <c r="A55" i="12"/>
  <c r="B55" i="12"/>
  <c r="C55" i="12"/>
  <c r="A56" i="12"/>
  <c r="B56" i="12"/>
  <c r="D56" i="12" s="1"/>
  <c r="C56" i="12"/>
  <c r="E56" i="12" s="1"/>
  <c r="A57" i="12"/>
  <c r="B57" i="12"/>
  <c r="C57" i="12"/>
  <c r="A58" i="12"/>
  <c r="B58" i="12"/>
  <c r="C58" i="12"/>
  <c r="E58" i="12" s="1"/>
  <c r="A59" i="12"/>
  <c r="B59" i="12"/>
  <c r="A60" i="12"/>
  <c r="B60" i="12"/>
  <c r="A61" i="12"/>
  <c r="B61" i="12"/>
  <c r="A62" i="12"/>
  <c r="B62" i="12"/>
  <c r="C62" i="12"/>
  <c r="E62" i="12" s="1"/>
  <c r="A63" i="12"/>
  <c r="B63" i="12"/>
  <c r="C63" i="12"/>
  <c r="A64" i="12"/>
  <c r="B64" i="12"/>
  <c r="C64" i="12"/>
  <c r="E64" i="12" s="1"/>
  <c r="A65" i="12"/>
  <c r="B65" i="12"/>
  <c r="E65" i="12" s="1"/>
  <c r="C65" i="12"/>
  <c r="A66" i="12"/>
  <c r="B66" i="12"/>
  <c r="E66" i="12" s="1"/>
  <c r="C66" i="12"/>
  <c r="D66" i="12" s="1"/>
  <c r="A67" i="12"/>
  <c r="B67" i="12"/>
  <c r="E67" i="12" s="1"/>
  <c r="A68" i="12"/>
  <c r="B68" i="12"/>
  <c r="A69" i="12"/>
  <c r="B69" i="12"/>
  <c r="E69" i="12" s="1"/>
  <c r="A70" i="12"/>
  <c r="B70" i="12"/>
  <c r="E70" i="12" s="1"/>
  <c r="C70" i="12"/>
  <c r="D70" i="12" s="1"/>
  <c r="A71" i="12"/>
  <c r="B71" i="12"/>
  <c r="C71" i="12"/>
  <c r="A72" i="12"/>
  <c r="B72" i="12"/>
  <c r="C72" i="12"/>
  <c r="E72" i="12" s="1"/>
  <c r="A73" i="12"/>
  <c r="B73" i="12"/>
  <c r="E73" i="12" s="1"/>
  <c r="C73" i="12"/>
  <c r="A74" i="12"/>
  <c r="B74" i="12"/>
  <c r="E74" i="12" s="1"/>
  <c r="C74" i="12"/>
  <c r="D74" i="12" s="1"/>
  <c r="A75" i="12"/>
  <c r="B75" i="12"/>
  <c r="E75" i="12" s="1"/>
  <c r="A76" i="12"/>
  <c r="B76" i="12"/>
  <c r="A77" i="12"/>
  <c r="B77" i="12"/>
  <c r="E77" i="12" s="1"/>
  <c r="A78" i="12"/>
  <c r="B78" i="12"/>
  <c r="E78" i="12" s="1"/>
  <c r="C78" i="12"/>
  <c r="D78" i="12" s="1"/>
  <c r="A79" i="12"/>
  <c r="B79" i="12"/>
  <c r="E79" i="12" s="1"/>
  <c r="C79" i="12"/>
  <c r="A80" i="12"/>
  <c r="B80" i="12"/>
  <c r="C80" i="12"/>
  <c r="E80" i="12" s="1"/>
  <c r="A81" i="12"/>
  <c r="B81" i="12"/>
  <c r="C81" i="12"/>
  <c r="A82" i="12"/>
  <c r="B82" i="12"/>
  <c r="C82" i="12"/>
  <c r="E82" i="12" s="1"/>
  <c r="A83" i="12"/>
  <c r="B83" i="12"/>
  <c r="A84" i="12"/>
  <c r="B84" i="12"/>
  <c r="A85" i="12"/>
  <c r="B85" i="12"/>
  <c r="A86" i="12"/>
  <c r="B86" i="12"/>
  <c r="C86" i="12"/>
  <c r="E86" i="12" s="1"/>
  <c r="A87" i="12"/>
  <c r="B87" i="12"/>
  <c r="C87" i="12"/>
  <c r="A88" i="12"/>
  <c r="B88" i="12"/>
  <c r="E88" i="12" s="1"/>
  <c r="C88" i="12"/>
  <c r="D88" i="12" s="1"/>
  <c r="A89" i="12"/>
  <c r="B89" i="12"/>
  <c r="C89" i="12"/>
  <c r="A90" i="12"/>
  <c r="B90" i="12"/>
  <c r="C90" i="12"/>
  <c r="E90" i="12" s="1"/>
  <c r="A91" i="12"/>
  <c r="B91" i="12"/>
  <c r="A92" i="12"/>
  <c r="B92" i="12"/>
  <c r="A93" i="12"/>
  <c r="B93" i="12"/>
  <c r="A94" i="12"/>
  <c r="B94" i="12"/>
  <c r="E94" i="12" s="1"/>
  <c r="C94" i="12"/>
  <c r="D94" i="12" s="1"/>
  <c r="A95" i="12"/>
  <c r="B95" i="12"/>
  <c r="E95" i="12" s="1"/>
  <c r="C95" i="12"/>
  <c r="A96" i="12"/>
  <c r="B96" i="12"/>
  <c r="E96" i="12" s="1"/>
  <c r="C96" i="12"/>
  <c r="D96" i="12" s="1"/>
  <c r="A97" i="12"/>
  <c r="B97" i="12"/>
  <c r="C97" i="12"/>
  <c r="A98" i="12"/>
  <c r="B98" i="12"/>
  <c r="E98" i="12" s="1"/>
  <c r="C98" i="12"/>
  <c r="D98" i="12" s="1"/>
  <c r="A99" i="12"/>
  <c r="B99" i="12"/>
  <c r="A100" i="12"/>
  <c r="B100" i="12"/>
  <c r="A101" i="12"/>
  <c r="B101" i="12"/>
  <c r="E101" i="12" s="1"/>
  <c r="A9" i="12"/>
  <c r="B9" i="12"/>
  <c r="D9" i="12" s="1"/>
  <c r="A10" i="12"/>
  <c r="B10" i="12"/>
  <c r="A11" i="12"/>
  <c r="B11" i="12"/>
  <c r="D11" i="12" s="1"/>
  <c r="C11" i="12"/>
  <c r="E11" i="12" s="1"/>
  <c r="A12" i="12"/>
  <c r="B12" i="12"/>
  <c r="A13" i="12"/>
  <c r="B13" i="12"/>
  <c r="A14" i="12"/>
  <c r="B14" i="12"/>
  <c r="C14" i="12"/>
  <c r="D14" i="12" s="1"/>
  <c r="A15" i="12"/>
  <c r="B15" i="12"/>
  <c r="C15" i="12"/>
  <c r="A16" i="12"/>
  <c r="B16" i="12"/>
  <c r="D16" i="12" s="1"/>
  <c r="C16" i="12"/>
  <c r="E16" i="12" s="1"/>
  <c r="A17" i="12"/>
  <c r="B17" i="12"/>
  <c r="D17" i="12" s="1"/>
  <c r="C17" i="12"/>
  <c r="E17" i="12" s="1"/>
  <c r="A18" i="12"/>
  <c r="B18" i="12"/>
  <c r="D18" i="12" s="1"/>
  <c r="A19" i="12"/>
  <c r="B19" i="12"/>
  <c r="C19" i="12"/>
  <c r="D19" i="12" s="1"/>
  <c r="A20" i="12"/>
  <c r="B20" i="12"/>
  <c r="D20" i="12" s="1"/>
  <c r="A21" i="12"/>
  <c r="B21" i="12"/>
  <c r="A22" i="12"/>
  <c r="B22" i="12"/>
  <c r="D22" i="12" s="1"/>
  <c r="C22" i="12"/>
  <c r="E22" i="12" s="1"/>
  <c r="A23" i="12"/>
  <c r="B23" i="12"/>
  <c r="D23" i="12" s="1"/>
  <c r="C23" i="12"/>
  <c r="A24" i="12"/>
  <c r="B24" i="12"/>
  <c r="D24" i="12" s="1"/>
  <c r="C24" i="12"/>
  <c r="E24" i="12" s="1"/>
  <c r="A25" i="12"/>
  <c r="B25" i="12"/>
  <c r="D25" i="12" s="1"/>
  <c r="C25" i="12"/>
  <c r="E25" i="12" s="1"/>
  <c r="A26" i="12"/>
  <c r="B26" i="12"/>
  <c r="A27" i="12"/>
  <c r="B27" i="12"/>
  <c r="C27" i="12"/>
  <c r="D27" i="12" s="1"/>
  <c r="A28" i="12"/>
  <c r="B28" i="12"/>
  <c r="A29" i="12"/>
  <c r="B29" i="12"/>
  <c r="D29" i="12" s="1"/>
  <c r="A30" i="12"/>
  <c r="B30" i="12"/>
  <c r="D30" i="12" s="1"/>
  <c r="C30" i="12"/>
  <c r="E30" i="12" s="1"/>
  <c r="A31" i="12"/>
  <c r="B31" i="12"/>
  <c r="C31" i="12"/>
  <c r="B8" i="12"/>
  <c r="C8" i="12"/>
  <c r="A8" i="12"/>
  <c r="D4" i="11"/>
  <c r="G44" i="10" s="1"/>
  <c r="A1" i="4"/>
  <c r="D7" i="7"/>
  <c r="D3" i="7"/>
  <c r="D11" i="6"/>
  <c r="D12" i="6"/>
  <c r="D13" i="6"/>
  <c r="D14" i="6"/>
  <c r="D19" i="6"/>
  <c r="D20" i="6"/>
  <c r="D21" i="6"/>
  <c r="D22" i="6"/>
  <c r="D27" i="6"/>
  <c r="D28" i="6"/>
  <c r="D29" i="6"/>
  <c r="D30" i="6"/>
  <c r="D35" i="6"/>
  <c r="D36" i="6"/>
  <c r="D37" i="6"/>
  <c r="D38" i="6"/>
  <c r="D43" i="6"/>
  <c r="D44" i="6"/>
  <c r="D45" i="6"/>
  <c r="D46" i="6"/>
  <c r="D51" i="6"/>
  <c r="D52" i="6"/>
  <c r="D53" i="6"/>
  <c r="D54" i="6"/>
  <c r="D59" i="6"/>
  <c r="D60" i="6"/>
  <c r="D61" i="6"/>
  <c r="D62" i="6"/>
  <c r="D67" i="6"/>
  <c r="D68" i="6"/>
  <c r="D69" i="6"/>
  <c r="D70" i="6"/>
  <c r="D75" i="6"/>
  <c r="D76" i="6"/>
  <c r="D77" i="6"/>
  <c r="D78" i="6"/>
  <c r="D83" i="6"/>
  <c r="D84" i="6"/>
  <c r="D85" i="6"/>
  <c r="D86" i="6"/>
  <c r="D91" i="6"/>
  <c r="D92" i="6"/>
  <c r="D93" i="6"/>
  <c r="D94" i="6"/>
  <c r="D99" i="6"/>
  <c r="D100" i="6"/>
  <c r="D101" i="6"/>
  <c r="D102" i="6"/>
  <c r="C7" i="6"/>
  <c r="C8" i="6"/>
  <c r="C9" i="6"/>
  <c r="C10" i="6"/>
  <c r="C11" i="6"/>
  <c r="C12" i="6"/>
  <c r="C13" i="6"/>
  <c r="C14" i="6"/>
  <c r="C15" i="6"/>
  <c r="C16" i="6"/>
  <c r="C17" i="6"/>
  <c r="C18" i="6"/>
  <c r="C19" i="6"/>
  <c r="C20" i="6"/>
  <c r="C21" i="6"/>
  <c r="C22" i="6"/>
  <c r="C23" i="6"/>
  <c r="C24" i="6"/>
  <c r="C25" i="6"/>
  <c r="C26" i="6"/>
  <c r="C27" i="6"/>
  <c r="C28" i="6"/>
  <c r="C29" i="6"/>
  <c r="C30" i="6"/>
  <c r="C31" i="6"/>
  <c r="C32" i="6"/>
  <c r="C33" i="6"/>
  <c r="C34" i="6"/>
  <c r="C35" i="6"/>
  <c r="C36" i="6"/>
  <c r="C37" i="6"/>
  <c r="C38" i="6"/>
  <c r="C39" i="6"/>
  <c r="C40" i="6"/>
  <c r="C41" i="6"/>
  <c r="C42" i="6"/>
  <c r="C43" i="6"/>
  <c r="C44" i="6"/>
  <c r="C45" i="6"/>
  <c r="C46" i="6"/>
  <c r="C47" i="6"/>
  <c r="C48" i="6"/>
  <c r="C49" i="6"/>
  <c r="C50" i="6"/>
  <c r="C51" i="6"/>
  <c r="C52" i="6"/>
  <c r="C53" i="6"/>
  <c r="C54" i="6"/>
  <c r="C55" i="6"/>
  <c r="C56" i="6"/>
  <c r="C57" i="6"/>
  <c r="C58" i="6"/>
  <c r="C59" i="6"/>
  <c r="C60" i="6"/>
  <c r="C61" i="6"/>
  <c r="C62" i="6"/>
  <c r="C63" i="6"/>
  <c r="C64" i="6"/>
  <c r="C65" i="6"/>
  <c r="C66" i="6"/>
  <c r="C67" i="6"/>
  <c r="C68" i="6"/>
  <c r="C69" i="6"/>
  <c r="C70" i="6"/>
  <c r="C71" i="6"/>
  <c r="C72" i="6"/>
  <c r="C73" i="6"/>
  <c r="C74" i="6"/>
  <c r="C75" i="6"/>
  <c r="C76" i="6"/>
  <c r="C77" i="6"/>
  <c r="C78" i="6"/>
  <c r="C79" i="6"/>
  <c r="C80" i="6"/>
  <c r="C81" i="6"/>
  <c r="C82" i="6"/>
  <c r="C83" i="6"/>
  <c r="C84" i="6"/>
  <c r="C85" i="6"/>
  <c r="C86" i="6"/>
  <c r="C87" i="6"/>
  <c r="C88" i="6"/>
  <c r="C89" i="6"/>
  <c r="C90" i="6"/>
  <c r="C91" i="6"/>
  <c r="C92" i="6"/>
  <c r="C93" i="6"/>
  <c r="C94" i="6"/>
  <c r="C95" i="6"/>
  <c r="C96" i="6"/>
  <c r="C97" i="6"/>
  <c r="C98" i="6"/>
  <c r="C99" i="6"/>
  <c r="C100" i="6"/>
  <c r="C101" i="6"/>
  <c r="C102" i="6"/>
  <c r="C103" i="6"/>
  <c r="C104" i="6"/>
  <c r="C105" i="6"/>
  <c r="C6" i="6"/>
  <c r="B103" i="6"/>
  <c r="B104" i="6"/>
  <c r="B105" i="6"/>
  <c r="B7" i="6"/>
  <c r="B8" i="6"/>
  <c r="B9" i="6"/>
  <c r="B10" i="6"/>
  <c r="B11" i="6"/>
  <c r="B12" i="6"/>
  <c r="B13" i="6"/>
  <c r="B14" i="6"/>
  <c r="B15" i="6"/>
  <c r="B16" i="6"/>
  <c r="B17" i="6"/>
  <c r="B18" i="6"/>
  <c r="B19" i="6"/>
  <c r="B20" i="6"/>
  <c r="B21" i="6"/>
  <c r="B22" i="6"/>
  <c r="B23" i="6"/>
  <c r="B24" i="6"/>
  <c r="B25" i="6"/>
  <c r="B26" i="6"/>
  <c r="B27" i="6"/>
  <c r="B28" i="6"/>
  <c r="B29" i="6"/>
  <c r="B30" i="6"/>
  <c r="B31" i="6"/>
  <c r="B32" i="6"/>
  <c r="B33" i="6"/>
  <c r="B34" i="6"/>
  <c r="B35" i="6"/>
  <c r="B36" i="6"/>
  <c r="B37" i="6"/>
  <c r="B38" i="6"/>
  <c r="B39" i="6"/>
  <c r="B40" i="6"/>
  <c r="B41" i="6"/>
  <c r="B42" i="6"/>
  <c r="B43" i="6"/>
  <c r="B44" i="6"/>
  <c r="B45" i="6"/>
  <c r="B46" i="6"/>
  <c r="B47" i="6"/>
  <c r="B48" i="6"/>
  <c r="B49" i="6"/>
  <c r="B50" i="6"/>
  <c r="B51" i="6"/>
  <c r="B52" i="6"/>
  <c r="B53" i="6"/>
  <c r="B54" i="6"/>
  <c r="B55" i="6"/>
  <c r="B56" i="6"/>
  <c r="B57" i="6"/>
  <c r="B58" i="6"/>
  <c r="B59" i="6"/>
  <c r="B60" i="6"/>
  <c r="B61" i="6"/>
  <c r="B62" i="6"/>
  <c r="B63" i="6"/>
  <c r="B64" i="6"/>
  <c r="B65" i="6"/>
  <c r="B66" i="6"/>
  <c r="B67" i="6"/>
  <c r="B68" i="6"/>
  <c r="B69" i="6"/>
  <c r="B70" i="6"/>
  <c r="B71" i="6"/>
  <c r="B72" i="6"/>
  <c r="B73" i="6"/>
  <c r="B74" i="6"/>
  <c r="B75" i="6"/>
  <c r="B76" i="6"/>
  <c r="B77" i="6"/>
  <c r="B78" i="6"/>
  <c r="B79" i="6"/>
  <c r="B80" i="6"/>
  <c r="B81" i="6"/>
  <c r="B82" i="6"/>
  <c r="B83" i="6"/>
  <c r="B84" i="6"/>
  <c r="B85" i="6"/>
  <c r="B86" i="6"/>
  <c r="B87" i="6"/>
  <c r="B88" i="6"/>
  <c r="B89" i="6"/>
  <c r="B90" i="6"/>
  <c r="B91" i="6"/>
  <c r="B92" i="6"/>
  <c r="B93" i="6"/>
  <c r="B94" i="6"/>
  <c r="B95" i="6"/>
  <c r="B96" i="6"/>
  <c r="B97" i="6"/>
  <c r="B98" i="6"/>
  <c r="B99" i="6"/>
  <c r="B100" i="6"/>
  <c r="B101" i="6"/>
  <c r="B102" i="6"/>
  <c r="B6" i="6"/>
  <c r="C85" i="12" l="1"/>
  <c r="E85" i="12" s="1"/>
  <c r="C53" i="12"/>
  <c r="E53" i="12" s="1"/>
  <c r="D90" i="6"/>
  <c r="E90" i="6" s="1"/>
  <c r="F90" i="6" s="1"/>
  <c r="D66" i="6"/>
  <c r="D34" i="6"/>
  <c r="E34" i="6" s="1"/>
  <c r="F34" i="6" s="1"/>
  <c r="D18" i="6"/>
  <c r="E18" i="6" s="1"/>
  <c r="F18" i="6" s="1"/>
  <c r="D97" i="6"/>
  <c r="E97" i="6" s="1"/>
  <c r="F97" i="6" s="1"/>
  <c r="D81" i="6"/>
  <c r="D65" i="6"/>
  <c r="E65" i="6" s="1"/>
  <c r="F65" i="6" s="1"/>
  <c r="D41" i="6"/>
  <c r="D25" i="6"/>
  <c r="E25" i="6" s="1"/>
  <c r="F25" i="6" s="1"/>
  <c r="D9" i="6"/>
  <c r="C13" i="12"/>
  <c r="E13" i="12" s="1"/>
  <c r="C108" i="12"/>
  <c r="D108" i="12" s="1"/>
  <c r="D104" i="6"/>
  <c r="D96" i="6"/>
  <c r="D88" i="6"/>
  <c r="D80" i="6"/>
  <c r="D72" i="6"/>
  <c r="E72" i="6" s="1"/>
  <c r="F72" i="6" s="1"/>
  <c r="D64" i="6"/>
  <c r="E64" i="6" s="1"/>
  <c r="F64" i="6" s="1"/>
  <c r="D56" i="6"/>
  <c r="E56" i="6" s="1"/>
  <c r="F56" i="6" s="1"/>
  <c r="D48" i="6"/>
  <c r="E48" i="6" s="1"/>
  <c r="F48" i="6" s="1"/>
  <c r="D40" i="6"/>
  <c r="E40" i="6" s="1"/>
  <c r="F40" i="6" s="1"/>
  <c r="D32" i="6"/>
  <c r="D24" i="6"/>
  <c r="E24" i="6" s="1"/>
  <c r="F24" i="6" s="1"/>
  <c r="D16" i="6"/>
  <c r="E16" i="6" s="1"/>
  <c r="F16" i="6" s="1"/>
  <c r="D8" i="6"/>
  <c r="E8" i="6" s="1"/>
  <c r="F8" i="6" s="1"/>
  <c r="C26" i="12"/>
  <c r="D26" i="12" s="1"/>
  <c r="C18" i="12"/>
  <c r="E18" i="12" s="1"/>
  <c r="C10" i="12"/>
  <c r="D10" i="12" s="1"/>
  <c r="C100" i="12"/>
  <c r="E100" i="12" s="1"/>
  <c r="C92" i="12"/>
  <c r="E92" i="12" s="1"/>
  <c r="C84" i="12"/>
  <c r="E84" i="12" s="1"/>
  <c r="C76" i="12"/>
  <c r="E76" i="12" s="1"/>
  <c r="C68" i="12"/>
  <c r="E68" i="12" s="1"/>
  <c r="C60" i="12"/>
  <c r="E60" i="12" s="1"/>
  <c r="C52" i="12"/>
  <c r="E52" i="12" s="1"/>
  <c r="C44" i="12"/>
  <c r="D44" i="12" s="1"/>
  <c r="C36" i="12"/>
  <c r="D36" i="12" s="1"/>
  <c r="E88" i="6"/>
  <c r="F88" i="6" s="1"/>
  <c r="E32" i="6"/>
  <c r="F32" i="6" s="1"/>
  <c r="C93" i="12"/>
  <c r="E93" i="12" s="1"/>
  <c r="C61" i="12"/>
  <c r="E61" i="12" s="1"/>
  <c r="D58" i="6"/>
  <c r="D105" i="6"/>
  <c r="E105" i="6" s="1"/>
  <c r="F105" i="6" s="1"/>
  <c r="D49" i="6"/>
  <c r="E49" i="6" s="1"/>
  <c r="F49" i="6" s="1"/>
  <c r="D103" i="6"/>
  <c r="E103" i="6" s="1"/>
  <c r="F103" i="6" s="1"/>
  <c r="D95" i="6"/>
  <c r="E95" i="6" s="1"/>
  <c r="F95" i="6" s="1"/>
  <c r="D87" i="6"/>
  <c r="D79" i="6"/>
  <c r="E79" i="6" s="1"/>
  <c r="F79" i="6" s="1"/>
  <c r="D71" i="6"/>
  <c r="D63" i="6"/>
  <c r="E63" i="6" s="1"/>
  <c r="F63" i="6" s="1"/>
  <c r="D55" i="6"/>
  <c r="E55" i="6" s="1"/>
  <c r="F55" i="6" s="1"/>
  <c r="D47" i="6"/>
  <c r="E47" i="6" s="1"/>
  <c r="F47" i="6" s="1"/>
  <c r="D39" i="6"/>
  <c r="E39" i="6" s="1"/>
  <c r="F39" i="6" s="1"/>
  <c r="D31" i="6"/>
  <c r="D23" i="6"/>
  <c r="D15" i="6"/>
  <c r="E15" i="6" s="1"/>
  <c r="F15" i="6" s="1"/>
  <c r="D7" i="6"/>
  <c r="E7" i="6" s="1"/>
  <c r="F7" i="6" s="1"/>
  <c r="E57" i="6"/>
  <c r="F57" i="6" s="1"/>
  <c r="E33" i="6"/>
  <c r="F33" i="6" s="1"/>
  <c r="E104" i="6"/>
  <c r="F104" i="6" s="1"/>
  <c r="E80" i="6"/>
  <c r="F80" i="6" s="1"/>
  <c r="C69" i="12"/>
  <c r="D69" i="12" s="1"/>
  <c r="E87" i="6"/>
  <c r="F87" i="6" s="1"/>
  <c r="E31" i="6"/>
  <c r="F31" i="6" s="1"/>
  <c r="D98" i="6"/>
  <c r="E98" i="6" s="1"/>
  <c r="F98" i="6" s="1"/>
  <c r="D74" i="6"/>
  <c r="D42" i="6"/>
  <c r="E42" i="6" s="1"/>
  <c r="F42" i="6" s="1"/>
  <c r="D89" i="6"/>
  <c r="E89" i="6" s="1"/>
  <c r="F89" i="6" s="1"/>
  <c r="D57" i="6"/>
  <c r="D33" i="6"/>
  <c r="D17" i="6"/>
  <c r="C29" i="12"/>
  <c r="E29" i="12" s="1"/>
  <c r="E99" i="6"/>
  <c r="F99" i="6" s="1"/>
  <c r="E91" i="6"/>
  <c r="F91" i="6" s="1"/>
  <c r="E83" i="6"/>
  <c r="F83" i="6" s="1"/>
  <c r="E75" i="6"/>
  <c r="F75" i="6" s="1"/>
  <c r="E67" i="6"/>
  <c r="F67" i="6" s="1"/>
  <c r="E59" i="6"/>
  <c r="F59" i="6" s="1"/>
  <c r="E51" i="6"/>
  <c r="F51" i="6" s="1"/>
  <c r="E43" i="6"/>
  <c r="F43" i="6" s="1"/>
  <c r="E35" i="6"/>
  <c r="F35" i="6" s="1"/>
  <c r="E27" i="6"/>
  <c r="F27" i="6" s="1"/>
  <c r="E19" i="6"/>
  <c r="F19" i="6" s="1"/>
  <c r="E11" i="6"/>
  <c r="F11" i="6" s="1"/>
  <c r="C28" i="12"/>
  <c r="D28" i="12" s="1"/>
  <c r="C20" i="12"/>
  <c r="E20" i="12" s="1"/>
  <c r="C12" i="12"/>
  <c r="D12" i="12" s="1"/>
  <c r="C107" i="12"/>
  <c r="E107" i="12" s="1"/>
  <c r="E81" i="6"/>
  <c r="F81" i="6" s="1"/>
  <c r="E41" i="6"/>
  <c r="F41" i="6" s="1"/>
  <c r="E96" i="6"/>
  <c r="F96" i="6" s="1"/>
  <c r="C101" i="12"/>
  <c r="D101" i="12" s="1"/>
  <c r="C77" i="12"/>
  <c r="D77" i="12" s="1"/>
  <c r="C45" i="12"/>
  <c r="D45" i="12" s="1"/>
  <c r="C37" i="12"/>
  <c r="D37" i="12" s="1"/>
  <c r="E71" i="6"/>
  <c r="F71" i="6" s="1"/>
  <c r="E23" i="6"/>
  <c r="F23" i="6" s="1"/>
  <c r="D82" i="6"/>
  <c r="E82" i="6" s="1"/>
  <c r="F82" i="6" s="1"/>
  <c r="D50" i="6"/>
  <c r="E50" i="6" s="1"/>
  <c r="F50" i="6" s="1"/>
  <c r="D26" i="6"/>
  <c r="E26" i="6" s="1"/>
  <c r="F26" i="6" s="1"/>
  <c r="D10" i="6"/>
  <c r="E10" i="6" s="1"/>
  <c r="F10" i="6" s="1"/>
  <c r="D73" i="6"/>
  <c r="E73" i="6" s="1"/>
  <c r="F73" i="6" s="1"/>
  <c r="C21" i="12"/>
  <c r="E74" i="6"/>
  <c r="F74" i="6" s="1"/>
  <c r="E66" i="6"/>
  <c r="F66" i="6" s="1"/>
  <c r="E58" i="6"/>
  <c r="F58" i="6" s="1"/>
  <c r="C99" i="12"/>
  <c r="E99" i="12" s="1"/>
  <c r="C91" i="12"/>
  <c r="E91" i="12" s="1"/>
  <c r="C83" i="12"/>
  <c r="E83" i="12" s="1"/>
  <c r="C75" i="12"/>
  <c r="D75" i="12" s="1"/>
  <c r="C67" i="12"/>
  <c r="D67" i="12" s="1"/>
  <c r="C59" i="12"/>
  <c r="E59" i="12" s="1"/>
  <c r="C51" i="12"/>
  <c r="D51" i="12" s="1"/>
  <c r="C43" i="12"/>
  <c r="E43" i="12" s="1"/>
  <c r="C35" i="12"/>
  <c r="E35" i="12" s="1"/>
  <c r="E102" i="6"/>
  <c r="F102" i="6" s="1"/>
  <c r="E94" i="6"/>
  <c r="F94" i="6" s="1"/>
  <c r="E86" i="6"/>
  <c r="F86" i="6" s="1"/>
  <c r="E78" i="6"/>
  <c r="F78" i="6" s="1"/>
  <c r="E70" i="6"/>
  <c r="F70" i="6" s="1"/>
  <c r="E62" i="6"/>
  <c r="F62" i="6" s="1"/>
  <c r="E54" i="6"/>
  <c r="F54" i="6" s="1"/>
  <c r="E46" i="6"/>
  <c r="F46" i="6" s="1"/>
  <c r="E38" i="6"/>
  <c r="F38" i="6" s="1"/>
  <c r="E30" i="6"/>
  <c r="F30" i="6" s="1"/>
  <c r="E22" i="6"/>
  <c r="F22" i="6" s="1"/>
  <c r="E14" i="6"/>
  <c r="F14" i="6" s="1"/>
  <c r="D21" i="12"/>
  <c r="D13" i="12"/>
  <c r="D95" i="12"/>
  <c r="E87" i="12"/>
  <c r="D79" i="12"/>
  <c r="E71" i="12"/>
  <c r="E63" i="12"/>
  <c r="D55" i="12"/>
  <c r="D47" i="12"/>
  <c r="E39" i="12"/>
  <c r="E101" i="6"/>
  <c r="F101" i="6" s="1"/>
  <c r="E93" i="6"/>
  <c r="F93" i="6" s="1"/>
  <c r="E85" i="6"/>
  <c r="F85" i="6" s="1"/>
  <c r="E77" i="6"/>
  <c r="F77" i="6" s="1"/>
  <c r="E69" i="6"/>
  <c r="F69" i="6" s="1"/>
  <c r="E61" i="6"/>
  <c r="F61" i="6" s="1"/>
  <c r="E53" i="6"/>
  <c r="F53" i="6" s="1"/>
  <c r="E45" i="6"/>
  <c r="F45" i="6" s="1"/>
  <c r="E37" i="6"/>
  <c r="F37" i="6" s="1"/>
  <c r="E29" i="6"/>
  <c r="F29" i="6" s="1"/>
  <c r="E21" i="6"/>
  <c r="F21" i="6" s="1"/>
  <c r="E13" i="6"/>
  <c r="F13" i="6" s="1"/>
  <c r="E100" i="6"/>
  <c r="F100" i="6" s="1"/>
  <c r="E92" i="6"/>
  <c r="F92" i="6" s="1"/>
  <c r="E84" i="6"/>
  <c r="F84" i="6" s="1"/>
  <c r="E76" i="6"/>
  <c r="F76" i="6" s="1"/>
  <c r="E68" i="6"/>
  <c r="F68" i="6" s="1"/>
  <c r="E60" i="6"/>
  <c r="F60" i="6" s="1"/>
  <c r="E52" i="6"/>
  <c r="F52" i="6" s="1"/>
  <c r="E44" i="6"/>
  <c r="F44" i="6" s="1"/>
  <c r="E36" i="6"/>
  <c r="F36" i="6" s="1"/>
  <c r="E28" i="6"/>
  <c r="F28" i="6" s="1"/>
  <c r="E20" i="6"/>
  <c r="F20" i="6" s="1"/>
  <c r="E12" i="6"/>
  <c r="F12" i="6" s="1"/>
  <c r="D31" i="12"/>
  <c r="E23" i="12"/>
  <c r="D15" i="12"/>
  <c r="E97" i="12"/>
  <c r="E89" i="12"/>
  <c r="E81" i="12"/>
  <c r="D73" i="12"/>
  <c r="D65" i="12"/>
  <c r="D57" i="12"/>
  <c r="D49" i="12"/>
  <c r="D41" i="12"/>
  <c r="D33" i="12"/>
  <c r="E101" i="2"/>
  <c r="E100" i="2"/>
  <c r="E99" i="2"/>
  <c r="E98" i="2"/>
  <c r="E97" i="2"/>
  <c r="E96" i="2"/>
  <c r="E94" i="2"/>
  <c r="E93" i="2"/>
  <c r="E92" i="2"/>
  <c r="E91" i="2"/>
  <c r="E90" i="2"/>
  <c r="E89" i="2"/>
  <c r="E88" i="2"/>
  <c r="E87" i="2"/>
  <c r="E86" i="2"/>
  <c r="E85" i="2"/>
  <c r="E84" i="2"/>
  <c r="E83" i="2"/>
  <c r="E82" i="2"/>
  <c r="E81" i="2"/>
  <c r="E80" i="2"/>
  <c r="E79" i="2"/>
  <c r="E78" i="2"/>
  <c r="E77" i="2"/>
  <c r="E76" i="2"/>
  <c r="E75" i="2"/>
  <c r="E74" i="2"/>
  <c r="E73" i="2"/>
  <c r="E72" i="2"/>
  <c r="E71" i="2"/>
  <c r="E70" i="2"/>
  <c r="E69" i="2"/>
  <c r="E68" i="2"/>
  <c r="E67" i="2"/>
  <c r="E66" i="2"/>
  <c r="E65" i="2"/>
  <c r="E64" i="2"/>
  <c r="E63" i="2"/>
  <c r="E62" i="2"/>
  <c r="E61" i="2"/>
  <c r="E60" i="2"/>
  <c r="E59" i="2"/>
  <c r="E58" i="2"/>
  <c r="E57" i="2"/>
  <c r="E56" i="2"/>
  <c r="E55" i="2"/>
  <c r="E54" i="2"/>
  <c r="E53" i="2"/>
  <c r="E52" i="2"/>
  <c r="E51" i="2"/>
  <c r="E50" i="2"/>
  <c r="E49" i="2"/>
  <c r="E48" i="2"/>
  <c r="E47" i="2"/>
  <c r="E46" i="2"/>
  <c r="E45" i="2"/>
  <c r="E44" i="2"/>
  <c r="E43" i="2"/>
  <c r="E42" i="2"/>
  <c r="E41" i="2"/>
  <c r="E40" i="2"/>
  <c r="E39" i="2"/>
  <c r="E38" i="2"/>
  <c r="E37" i="2"/>
  <c r="E36" i="2"/>
  <c r="E35" i="2"/>
  <c r="E34" i="2"/>
  <c r="E33" i="2"/>
  <c r="E32" i="2"/>
  <c r="E31" i="2"/>
  <c r="E30" i="2"/>
  <c r="E29" i="2"/>
  <c r="E28" i="2"/>
  <c r="E27" i="2"/>
  <c r="E26" i="2"/>
  <c r="E25" i="2"/>
  <c r="E24" i="2"/>
  <c r="E23" i="2"/>
  <c r="E22" i="2"/>
  <c r="E21" i="2"/>
  <c r="E20" i="2"/>
  <c r="E19" i="2"/>
  <c r="E18" i="2"/>
  <c r="E17" i="2"/>
  <c r="E16" i="2"/>
  <c r="E15" i="2"/>
  <c r="E14" i="2"/>
  <c r="E13" i="2"/>
  <c r="E12" i="2"/>
  <c r="E11" i="2"/>
  <c r="E10" i="2"/>
  <c r="E9" i="2"/>
  <c r="E8" i="2"/>
  <c r="E7" i="2"/>
  <c r="E6" i="2"/>
  <c r="E5" i="2"/>
  <c r="E4" i="2"/>
  <c r="E3" i="2"/>
  <c r="C105" i="13"/>
  <c r="C102" i="12"/>
  <c r="E102" i="12" s="1"/>
  <c r="E13" i="13"/>
  <c r="E15" i="13"/>
  <c r="E16" i="13"/>
  <c r="E17" i="13"/>
  <c r="E18" i="13"/>
  <c r="E22" i="13"/>
  <c r="E24" i="13"/>
  <c r="E29" i="13"/>
  <c r="E30" i="13"/>
  <c r="E31" i="13"/>
  <c r="E34" i="13"/>
  <c r="E35" i="13"/>
  <c r="E36" i="13"/>
  <c r="E37" i="13"/>
  <c r="E39" i="13"/>
  <c r="E40" i="13"/>
  <c r="E41" i="13"/>
  <c r="E44" i="13"/>
  <c r="E47" i="13"/>
  <c r="E48" i="13"/>
  <c r="E50" i="13"/>
  <c r="E51" i="13"/>
  <c r="E52" i="13"/>
  <c r="E53" i="13"/>
  <c r="E54" i="13"/>
  <c r="E57" i="13"/>
  <c r="E58" i="13"/>
  <c r="E60" i="13"/>
  <c r="D61" i="13"/>
  <c r="D62" i="13"/>
  <c r="D63" i="13"/>
  <c r="D64" i="13"/>
  <c r="D65" i="13"/>
  <c r="D66" i="13"/>
  <c r="D67" i="13"/>
  <c r="D71" i="13"/>
  <c r="D74" i="13"/>
  <c r="D75" i="13"/>
  <c r="D79" i="13"/>
  <c r="D83" i="13"/>
  <c r="D84" i="13"/>
  <c r="D85" i="13"/>
  <c r="D86" i="13"/>
  <c r="D87" i="13"/>
  <c r="D88" i="13"/>
  <c r="D89" i="13"/>
  <c r="D90" i="13"/>
  <c r="D92" i="13"/>
  <c r="D93" i="13"/>
  <c r="D94" i="13"/>
  <c r="D95" i="13"/>
  <c r="D96" i="13"/>
  <c r="D100" i="13"/>
  <c r="D102" i="13"/>
  <c r="D103" i="13"/>
  <c r="D105" i="13"/>
  <c r="D110" i="13"/>
  <c r="C12" i="13"/>
  <c r="E12" i="13" s="1"/>
  <c r="C9" i="12"/>
  <c r="E9" i="12" s="1"/>
  <c r="D3" i="11"/>
  <c r="L14" i="10" s="1"/>
  <c r="D6" i="6"/>
  <c r="E6" i="6" s="1"/>
  <c r="F6" i="6" s="1"/>
  <c r="D100" i="12"/>
  <c r="D99" i="12"/>
  <c r="D97" i="12"/>
  <c r="D92" i="12"/>
  <c r="D90" i="12"/>
  <c r="D89" i="12"/>
  <c r="D87" i="12"/>
  <c r="D86" i="12"/>
  <c r="D82" i="12"/>
  <c r="D81" i="12"/>
  <c r="D80" i="12"/>
  <c r="D76" i="12"/>
  <c r="D72" i="12"/>
  <c r="D71" i="12"/>
  <c r="D64" i="12"/>
  <c r="D63" i="12"/>
  <c r="D62" i="12"/>
  <c r="D61" i="12"/>
  <c r="D60" i="12"/>
  <c r="D59" i="12"/>
  <c r="D58" i="12"/>
  <c r="E57" i="12"/>
  <c r="E55" i="12"/>
  <c r="E54" i="12"/>
  <c r="E51" i="12"/>
  <c r="E50" i="12"/>
  <c r="E49" i="12"/>
  <c r="E48" i="12"/>
  <c r="E47" i="12"/>
  <c r="E41" i="12"/>
  <c r="E38" i="12"/>
  <c r="E31" i="12"/>
  <c r="E36" i="12"/>
  <c r="E34" i="12"/>
  <c r="E33" i="12"/>
  <c r="E32" i="12"/>
  <c r="E28" i="12"/>
  <c r="E27" i="12"/>
  <c r="E26" i="12"/>
  <c r="E21" i="12"/>
  <c r="E19" i="12"/>
  <c r="E15" i="12"/>
  <c r="E14" i="12"/>
  <c r="E67" i="13"/>
  <c r="E71" i="13"/>
  <c r="E75" i="13"/>
  <c r="E79" i="13"/>
  <c r="E83" i="13"/>
  <c r="E87" i="13"/>
  <c r="D91" i="13"/>
  <c r="E95" i="13"/>
  <c r="D99" i="13"/>
  <c r="E103" i="13"/>
  <c r="D107" i="13"/>
  <c r="D111" i="13"/>
  <c r="E63" i="13"/>
  <c r="B110" i="12"/>
  <c r="D15" i="13"/>
  <c r="D17" i="13"/>
  <c r="E19" i="13"/>
  <c r="E21" i="13"/>
  <c r="E23" i="13"/>
  <c r="E25" i="13"/>
  <c r="E27" i="13"/>
  <c r="D29" i="13"/>
  <c r="D31" i="13"/>
  <c r="E33" i="13"/>
  <c r="D35" i="13"/>
  <c r="D37" i="13"/>
  <c r="D39" i="13"/>
  <c r="E43" i="13"/>
  <c r="D47" i="13"/>
  <c r="D51" i="13"/>
  <c r="E55" i="13"/>
  <c r="E59" i="13"/>
  <c r="D13" i="13"/>
  <c r="K10" i="10"/>
  <c r="K11" i="10"/>
  <c r="D41" i="13"/>
  <c r="E45" i="13"/>
  <c r="E49" i="13"/>
  <c r="D53" i="13"/>
  <c r="D57" i="13"/>
  <c r="E61" i="13"/>
  <c r="E65" i="13"/>
  <c r="D69" i="13"/>
  <c r="D73" i="13"/>
  <c r="D77" i="13"/>
  <c r="D81" i="13"/>
  <c r="E85" i="13"/>
  <c r="E89" i="13"/>
  <c r="E93" i="13"/>
  <c r="D97" i="13"/>
  <c r="D101" i="13"/>
  <c r="E105" i="13"/>
  <c r="D109" i="13"/>
  <c r="E14" i="13"/>
  <c r="D18" i="13"/>
  <c r="D22" i="13"/>
  <c r="E26" i="13"/>
  <c r="D30" i="13"/>
  <c r="D34" i="13"/>
  <c r="E38" i="13"/>
  <c r="E42" i="13"/>
  <c r="E46" i="13"/>
  <c r="D50" i="13"/>
  <c r="D54" i="13"/>
  <c r="D58" i="13"/>
  <c r="E62" i="13"/>
  <c r="E66" i="13"/>
  <c r="D70" i="13"/>
  <c r="E74" i="13"/>
  <c r="D78" i="13"/>
  <c r="D82" i="13"/>
  <c r="E86" i="13"/>
  <c r="E90" i="13"/>
  <c r="E94" i="13"/>
  <c r="D98" i="13"/>
  <c r="E102" i="13"/>
  <c r="D106" i="13"/>
  <c r="E110" i="13"/>
  <c r="D16" i="13"/>
  <c r="E20" i="13"/>
  <c r="D24" i="13"/>
  <c r="E28" i="13"/>
  <c r="E32" i="13"/>
  <c r="D36" i="13"/>
  <c r="D40" i="13"/>
  <c r="D44" i="13"/>
  <c r="D48" i="13"/>
  <c r="D52" i="13"/>
  <c r="E56" i="13"/>
  <c r="D60" i="13"/>
  <c r="E64" i="13"/>
  <c r="D68" i="13"/>
  <c r="D72" i="13"/>
  <c r="D76" i="13"/>
  <c r="D80" i="13"/>
  <c r="E84" i="13"/>
  <c r="E88" i="13"/>
  <c r="E92" i="13"/>
  <c r="E96" i="13"/>
  <c r="E100" i="13"/>
  <c r="D104" i="13"/>
  <c r="D108" i="13"/>
  <c r="B113" i="13"/>
  <c r="C3" i="13" s="1"/>
  <c r="E17" i="6"/>
  <c r="F17" i="6" s="1"/>
  <c r="E9" i="6"/>
  <c r="F9" i="6" s="1"/>
  <c r="H4" i="4"/>
  <c r="E10" i="12" l="1"/>
  <c r="D91" i="12"/>
  <c r="B5" i="5"/>
  <c r="E37" i="12"/>
  <c r="E12" i="12"/>
  <c r="E44" i="12"/>
  <c r="D83" i="12"/>
  <c r="E45" i="12"/>
  <c r="D68" i="12"/>
  <c r="D84" i="12"/>
  <c r="D107" i="12"/>
  <c r="D85" i="12"/>
  <c r="D93" i="12"/>
  <c r="D6" i="11"/>
  <c r="I44" i="10" s="1"/>
  <c r="E44" i="10"/>
  <c r="L15" i="10"/>
  <c r="D102" i="12"/>
  <c r="L120" i="13"/>
  <c r="L119" i="13"/>
  <c r="L122" i="13" s="1"/>
  <c r="K120" i="13"/>
  <c r="K119" i="13"/>
  <c r="J120" i="13"/>
  <c r="J119" i="13"/>
  <c r="J122" i="13" s="1"/>
  <c r="I120" i="13"/>
  <c r="I119" i="13"/>
  <c r="H120" i="13"/>
  <c r="H119" i="13"/>
  <c r="G120" i="13"/>
  <c r="G119" i="13"/>
  <c r="F120" i="13"/>
  <c r="F119" i="13"/>
  <c r="F122" i="13" s="1"/>
  <c r="E120" i="13"/>
  <c r="E119" i="13"/>
  <c r="E122" i="13" s="1"/>
  <c r="D120" i="13"/>
  <c r="D119" i="13"/>
  <c r="C120" i="13"/>
  <c r="C119" i="13"/>
  <c r="B120" i="13"/>
  <c r="B119" i="13"/>
  <c r="K6" i="3"/>
  <c r="K5" i="3"/>
  <c r="K7" i="3" s="1"/>
  <c r="H9" i="4" s="1"/>
  <c r="J6" i="3"/>
  <c r="J5" i="3"/>
  <c r="I6" i="3"/>
  <c r="I5" i="3"/>
  <c r="H6" i="3"/>
  <c r="H5" i="3"/>
  <c r="G6" i="3"/>
  <c r="G5" i="3"/>
  <c r="G7" i="3" s="1"/>
  <c r="H7" i="4" s="1"/>
  <c r="F6" i="3"/>
  <c r="F5" i="3"/>
  <c r="E6" i="3"/>
  <c r="E5" i="3"/>
  <c r="E7" i="3" s="1"/>
  <c r="H6" i="4" s="1"/>
  <c r="D6" i="3"/>
  <c r="D5" i="3"/>
  <c r="L6" i="3"/>
  <c r="L5" i="3"/>
  <c r="L7" i="3" s="1"/>
  <c r="H10" i="4" s="1"/>
  <c r="F7" i="3"/>
  <c r="C6" i="3"/>
  <c r="C5" i="3"/>
  <c r="B6" i="3"/>
  <c r="B5" i="3"/>
  <c r="L6" i="5"/>
  <c r="L5" i="5"/>
  <c r="K6" i="5"/>
  <c r="K5" i="5"/>
  <c r="K7" i="5" s="1"/>
  <c r="J6" i="5"/>
  <c r="J5" i="5"/>
  <c r="I6" i="5"/>
  <c r="I5" i="5"/>
  <c r="H6" i="5"/>
  <c r="H5" i="5"/>
  <c r="H7" i="5" s="1"/>
  <c r="G6" i="5"/>
  <c r="G5" i="5"/>
  <c r="G7" i="5" s="1"/>
  <c r="F6" i="5"/>
  <c r="F5" i="5"/>
  <c r="E6" i="5"/>
  <c r="E5" i="5"/>
  <c r="D6" i="5"/>
  <c r="D5" i="5"/>
  <c r="D7" i="5" s="1"/>
  <c r="C6" i="5"/>
  <c r="C5" i="5"/>
  <c r="C7" i="5" s="1"/>
  <c r="B6" i="5"/>
  <c r="B7" i="3"/>
  <c r="D3" i="6"/>
  <c r="C8" i="13"/>
  <c r="C5" i="13"/>
  <c r="D113" i="13"/>
  <c r="E113" i="13"/>
  <c r="C7" i="3"/>
  <c r="D7" i="3" l="1"/>
  <c r="I7" i="3"/>
  <c r="H8" i="4" s="1"/>
  <c r="G122" i="13"/>
  <c r="E110" i="12"/>
  <c r="F7" i="5"/>
  <c r="J7" i="5"/>
  <c r="B18" i="5" s="1"/>
  <c r="J7" i="3"/>
  <c r="M7" i="3" s="1"/>
  <c r="D122" i="13"/>
  <c r="H122" i="13"/>
  <c r="B7" i="5"/>
  <c r="B10" i="5" s="1"/>
  <c r="M6" i="3"/>
  <c r="I122" i="13"/>
  <c r="D110" i="12"/>
  <c r="F3" i="12" s="1"/>
  <c r="L23" i="10" s="1"/>
  <c r="L29" i="10" s="1"/>
  <c r="E3" i="10"/>
  <c r="M5" i="3"/>
  <c r="H7" i="3"/>
  <c r="B16" i="3" s="1"/>
  <c r="E16" i="3" s="1"/>
  <c r="F16" i="3" s="1"/>
  <c r="L7" i="5"/>
  <c r="B20" i="5" s="1"/>
  <c r="E7" i="5"/>
  <c r="B13" i="5" s="1"/>
  <c r="I7" i="5"/>
  <c r="B17" i="5" s="1"/>
  <c r="C122" i="13"/>
  <c r="B12" i="5"/>
  <c r="S14" i="13"/>
  <c r="B11" i="5"/>
  <c r="B19" i="5"/>
  <c r="B14" i="5"/>
  <c r="B15" i="5"/>
  <c r="M5" i="5"/>
  <c r="B16" i="5"/>
  <c r="M6" i="5"/>
  <c r="K122" i="13"/>
  <c r="B122" i="13"/>
  <c r="S13" i="13"/>
  <c r="B14" i="3"/>
  <c r="E14" i="3" s="1"/>
  <c r="F14" i="3" s="1"/>
  <c r="B12" i="3"/>
  <c r="E12" i="3" s="1"/>
  <c r="F12" i="3" s="1"/>
  <c r="B20" i="3"/>
  <c r="I10" i="4" s="1"/>
  <c r="J10" i="4" s="1"/>
  <c r="B19" i="3"/>
  <c r="E19" i="3" s="1"/>
  <c r="F19" i="3" s="1"/>
  <c r="B17" i="3"/>
  <c r="I8" i="4" s="1"/>
  <c r="J8" i="4" s="1"/>
  <c r="B15" i="3"/>
  <c r="I7" i="4" s="1"/>
  <c r="J7" i="4" s="1"/>
  <c r="B13" i="3"/>
  <c r="B11" i="3"/>
  <c r="I5" i="4" s="1"/>
  <c r="B10" i="3"/>
  <c r="I4" i="4" s="1"/>
  <c r="J4" i="4" s="1"/>
  <c r="H5" i="4"/>
  <c r="L13" i="4"/>
  <c r="E39" i="10"/>
  <c r="M4" i="10"/>
  <c r="C3" i="10"/>
  <c r="I12" i="4"/>
  <c r="C4" i="13"/>
  <c r="B18" i="3" l="1"/>
  <c r="E18" i="3" s="1"/>
  <c r="F18" i="3" s="1"/>
  <c r="E47" i="10"/>
  <c r="E17" i="3"/>
  <c r="F17" i="3" s="1"/>
  <c r="M7" i="5"/>
  <c r="E15" i="5" s="1"/>
  <c r="F15" i="5" s="1"/>
  <c r="E14" i="5"/>
  <c r="F14" i="5" s="1"/>
  <c r="E17" i="5"/>
  <c r="F17" i="5" s="1"/>
  <c r="E10" i="5"/>
  <c r="F10" i="5" s="1"/>
  <c r="E10" i="3"/>
  <c r="F10" i="3" s="1"/>
  <c r="S16" i="13"/>
  <c r="M122" i="13"/>
  <c r="E15" i="3"/>
  <c r="F15" i="3" s="1"/>
  <c r="E20" i="3"/>
  <c r="F20" i="3" s="1"/>
  <c r="I6" i="4"/>
  <c r="J6" i="4" s="1"/>
  <c r="I9" i="4"/>
  <c r="J9" i="4" s="1"/>
  <c r="E13" i="3"/>
  <c r="F13" i="3" s="1"/>
  <c r="J5" i="4"/>
  <c r="E11" i="3"/>
  <c r="E12" i="5" l="1"/>
  <c r="F12" i="5" s="1"/>
  <c r="E11" i="5"/>
  <c r="F11" i="5" s="1"/>
  <c r="C6" i="13"/>
  <c r="F4" i="12"/>
  <c r="E20" i="5"/>
  <c r="F20" i="5" s="1"/>
  <c r="E13" i="5"/>
  <c r="F13" i="5" s="1"/>
  <c r="E19" i="5"/>
  <c r="F19" i="5" s="1"/>
  <c r="E18" i="5"/>
  <c r="F18" i="5" s="1"/>
  <c r="E16" i="5"/>
  <c r="F16" i="5" s="1"/>
  <c r="F11" i="3"/>
  <c r="F21" i="3" s="1"/>
  <c r="B23" i="3" s="1"/>
  <c r="G47" i="10" l="1"/>
  <c r="F6" i="12"/>
  <c r="L22" i="10"/>
  <c r="L26" i="10" s="1"/>
  <c r="C7" i="13"/>
  <c r="C9" i="13"/>
  <c r="F21" i="5"/>
  <c r="B23" i="5" s="1"/>
  <c r="I13" i="4" s="1"/>
  <c r="I14" i="4"/>
  <c r="L15" i="4" l="1"/>
  <c r="M5" i="10" s="1"/>
  <c r="G3" i="10"/>
  <c r="I47" i="10"/>
  <c r="M6" i="10"/>
  <c r="F51" i="10"/>
  <c r="I3" i="10"/>
</calcChain>
</file>

<file path=xl/comments1.xml><?xml version="1.0" encoding="utf-8"?>
<comments xmlns="http://schemas.openxmlformats.org/spreadsheetml/2006/main">
  <authors>
    <author>James Kajdasz</author>
  </authors>
  <commentList>
    <comment ref="A4" authorId="0">
      <text>
        <r>
          <rPr>
            <sz val="8"/>
            <color indexed="81"/>
            <rFont val="Tahoma"/>
            <family val="2"/>
          </rPr>
          <t>Download responses:
All Responses collected
Spreadsheet format
Condensed 
(Numerical Format)</t>
        </r>
      </text>
    </comment>
  </commentList>
</comments>
</file>

<file path=xl/comments2.xml><?xml version="1.0" encoding="utf-8"?>
<comments xmlns="http://schemas.openxmlformats.org/spreadsheetml/2006/main">
  <authors>
    <author>James Kajdasz</author>
  </authors>
  <commentList>
    <comment ref="B1" authorId="0">
      <text>
        <r>
          <rPr>
            <b/>
            <sz val="8"/>
            <color indexed="81"/>
            <rFont val="Tahoma"/>
            <family val="2"/>
          </rPr>
          <t>Correct Answer.  
0 = "False" or "Didn't Occur"
1 = "True" or "Did Occur"</t>
        </r>
      </text>
    </comment>
    <comment ref="C1" authorId="0">
      <text>
        <r>
          <rPr>
            <b/>
            <sz val="8"/>
            <color indexed="81"/>
            <rFont val="Tahoma"/>
            <family val="2"/>
          </rPr>
          <t>Probability assigned by DM of correctness, or chance of occurrence.</t>
        </r>
      </text>
    </comment>
  </commentList>
</comments>
</file>

<file path=xl/comments3.xml><?xml version="1.0" encoding="utf-8"?>
<comments xmlns="http://schemas.openxmlformats.org/spreadsheetml/2006/main">
  <authors>
    <author>James</author>
  </authors>
  <commentList>
    <comment ref="B117" authorId="0">
      <text>
        <r>
          <rPr>
            <b/>
            <sz val="8"/>
            <color indexed="81"/>
            <rFont val="Tahoma"/>
            <family val="2"/>
          </rPr>
          <t xml:space="preserve">Chart used for scatter histogram on graph
</t>
        </r>
      </text>
    </comment>
  </commentList>
</comments>
</file>

<file path=xl/sharedStrings.xml><?xml version="1.0" encoding="utf-8"?>
<sst xmlns="http://schemas.openxmlformats.org/spreadsheetml/2006/main" count="715" uniqueCount="371">
  <si>
    <t>RespondentID</t>
  </si>
  <si>
    <t>CollectorID</t>
  </si>
  <si>
    <t>StartDate</t>
  </si>
  <si>
    <t>EndDate</t>
  </si>
  <si>
    <t>IP Address</t>
  </si>
  <si>
    <t>Email Address</t>
  </si>
  <si>
    <t>First Name</t>
  </si>
  <si>
    <t>LastName</t>
  </si>
  <si>
    <t>Custom Data</t>
  </si>
  <si>
    <t xml:space="preserve">Bill Clinton's home state is Arkansas.  </t>
  </si>
  <si>
    <t xml:space="preserve">If you want feedback on how you do on this survey, I'll need to have your contact information so I know who's data this is (i.e. name, e-mail, or some other identifiable information so you can tell what survey is yours).      Some additional questions are also asked below.  This information is optional and does not need to be provided.  This data, along with the answers you are about to provide, may potentially be used in a future research project.  If it is, such data will be kept anonymous, and will not be tied to your name or any other personally identifiable information.  If you wish to opt out and not have your data used for research, it is your right to do so.  </t>
  </si>
  <si>
    <t>The Russian Ensign from Star Trek was named Nureyev.</t>
  </si>
  <si>
    <t>The polar bear diet consists primarily of seals.</t>
  </si>
  <si>
    <t>According to folklore, the sandman helps children grow.</t>
  </si>
  <si>
    <t>The Concorde was developed in the French city of Toulouse.</t>
  </si>
  <si>
    <t>In the Peanuts cartoon, the character Schroeder plays the piano.</t>
  </si>
  <si>
    <t>The color brown is not found in a rainbow.</t>
  </si>
  <si>
    <t>The World trade Center was designed by architect Mirioru Yamazuki.</t>
  </si>
  <si>
    <t>The term "gambit" is associated with pitching horseshoes.</t>
  </si>
  <si>
    <t>The term "in toto" means on your toes.</t>
  </si>
  <si>
    <t>Buick is named after the founder of Detroit.</t>
  </si>
  <si>
    <t>California has the most seats in the American House of Representatives.</t>
  </si>
  <si>
    <t>The artist Andy Cole is famous for his images of Campbell's soup cans.</t>
  </si>
  <si>
    <t>A yeti is a mythical shaggy man-beast who lives in the Himalayas.</t>
  </si>
  <si>
    <t xml:space="preserve">An "Indian Summer" is an especially warm spring. </t>
  </si>
  <si>
    <t>A fedora is a type of dance.</t>
  </si>
  <si>
    <t>The song "Day By Day" is featured in the musical "Hair."</t>
  </si>
  <si>
    <t>The Dow Jones average is generated by checking a total of 50 stocks.</t>
  </si>
  <si>
    <t>The first microwave oven was invented in 1947 by Percy Spencer.</t>
  </si>
  <si>
    <t>The first U.S. Space Shuttle to orbit the earth was Columbia.</t>
  </si>
  <si>
    <t>President McKinley, after he was shot, was succeeded by Theodore Roosevelt.</t>
  </si>
  <si>
    <t>Singer Diana Ross' middle name is Josephine.</t>
  </si>
  <si>
    <t>The first African-American General in the US military was Patrick F. Healy.</t>
  </si>
  <si>
    <t>The Japanese art of flower arrangement is known as Ikebana.</t>
  </si>
  <si>
    <t>The former name of the Hawaiian Islands was the Sandwich Islands.</t>
  </si>
  <si>
    <t>In the human body, the stirrup bone is located in the ear.</t>
  </si>
  <si>
    <t>An alektorophobic is frightened of chickens.</t>
  </si>
  <si>
    <t>Memorial Day is observed on the last Thursday of November.</t>
  </si>
  <si>
    <t>The willow tree is sometimes described as "weeping".</t>
  </si>
  <si>
    <t>The singer Madonna's real surname is Ciccone.</t>
  </si>
  <si>
    <t>In baseball, home plate is 60 feet, 6 inches from the pitcher's mound.</t>
  </si>
  <si>
    <t>The President's term begins on January 15th.</t>
  </si>
  <si>
    <t>"The Catcher in the Rye" was written by F. Scott Fitzgerald.</t>
  </si>
  <si>
    <t>The country of Thailand was formerly known as Siam.</t>
  </si>
  <si>
    <t>In Braille, there are 49 different combinations of dots.</t>
  </si>
  <si>
    <t>The song "White Christmas" was written by Bing Crosby.</t>
  </si>
  <si>
    <t>Jimmy Carter was not a Republican.</t>
  </si>
  <si>
    <t>Napoleon was born on the island of Corsica.</t>
  </si>
  <si>
    <t>Encephalitis is a type of German measles.</t>
  </si>
  <si>
    <t>Homer Simpson's favorite drink is Duff Beer.</t>
  </si>
  <si>
    <t>A "boot" is what British drivers call the trunk of their car.</t>
  </si>
  <si>
    <t>Laika, the first dog to orbit the earth, was a fox terrier.</t>
  </si>
  <si>
    <t>The TV show "Cheers" was set in the city of Boston.</t>
  </si>
  <si>
    <t>In a standard game of checkers, each side starts with 12 pieces.</t>
  </si>
  <si>
    <t>The tufted titmouse is a type of rodent.</t>
  </si>
  <si>
    <t xml:space="preserve">The captain of the H.M.S. Titanic was Captain White. </t>
  </si>
  <si>
    <t>The middle ring of the Olympic flag is black.</t>
  </si>
  <si>
    <t xml:space="preserve">The nationality of opera singer Placido Domingo is Spanish. </t>
  </si>
  <si>
    <t>The Bay of Pigs was an attempt to overthrow the government of Argentina.</t>
  </si>
  <si>
    <t>The city of Bukhara is located in Uzbekistan.</t>
  </si>
  <si>
    <t>The Bolshoi Ballet is based in Kiev.</t>
  </si>
  <si>
    <t>The flag of Grenada features the spice cinnamon.</t>
  </si>
  <si>
    <t>The Eagles sang about a Twitchey woman.</t>
  </si>
  <si>
    <t>A giraffe's neck has 47 bones.</t>
  </si>
  <si>
    <t>The first "A" in NASA stands for American.</t>
  </si>
  <si>
    <t>In Greek mythology, Hebe was the goddess of wisdom.</t>
  </si>
  <si>
    <t>Miss Piggy's surname is "Perfecto"</t>
  </si>
  <si>
    <t>"The Jungle Book" was written by Rudyard Kipling.</t>
  </si>
  <si>
    <t>King Arthur's sword was named "Excalibur."</t>
  </si>
  <si>
    <t>The Republican party is known by the three initials GOP.</t>
  </si>
  <si>
    <t>The Football Hall of Fame is located in Springfield, Massachusetts.</t>
  </si>
  <si>
    <t>The general store in "Little House on the Prairie" was owned by the Olesons.</t>
  </si>
  <si>
    <t>The first bank to open in the US was The Provident Institute for Savings.</t>
  </si>
  <si>
    <t>A fish's caudal fin is located on its back.</t>
  </si>
  <si>
    <t>The cartoon character Wile E. Coyote normally chases Pepe le Pew.</t>
  </si>
  <si>
    <t>The state flag of Wyoming features a bison.</t>
  </si>
  <si>
    <t>The first two Super Bowls were won by the Green Bay Packers.</t>
  </si>
  <si>
    <t>Hot Springs, New Mexico changed its name to Truth or Consequences.</t>
  </si>
  <si>
    <t>The legendary Route 66 crosses six states.</t>
  </si>
  <si>
    <t>"Nobody puts Baby in a corner" is a line from the movie "Dirty Dancing".</t>
  </si>
  <si>
    <t>There are 26 letters in the English alphabet.</t>
  </si>
  <si>
    <t>In the Walt Disney movie, Snow White's hair is black.</t>
  </si>
  <si>
    <t>Cincinnati is the hometown of Sylvester Stallone, and his character Rocky.</t>
  </si>
  <si>
    <t>Ides of March is celebrated on February 14th.</t>
  </si>
  <si>
    <t>Marilyn Monroe's real name was Jayne Mansfield.</t>
  </si>
  <si>
    <t>Edwin Land is known for inventing the Post-It note.</t>
  </si>
  <si>
    <t>A theodolyte is a tool used by a surgeon.</t>
  </si>
  <si>
    <t>The name of Winnie-the-Pooh's tiger friend is Shere Khan.</t>
  </si>
  <si>
    <t>The "Wal" in Wal-Mart refers to Fats Walter.</t>
  </si>
  <si>
    <t xml:space="preserve">The "Star of Africa" diamond is round shaped. </t>
  </si>
  <si>
    <t>In the movies, a werewolf can usually be killed with a silver bullet.</t>
  </si>
  <si>
    <t>The movie Star Trek featured Luke Skywalker.</t>
  </si>
  <si>
    <t>The staple diet of silk worms is hawthorn.</t>
  </si>
  <si>
    <t>The Sorbonne in Paris is an Art Gallery.</t>
  </si>
  <si>
    <t>Charles Darwin made his famous voyage on a ship named the Pelican.</t>
  </si>
  <si>
    <t>In the Wizard of Oz, the Tin Man wanted a brain.</t>
  </si>
  <si>
    <t>The Greek goddess of love and beauty is Aphrodite.</t>
  </si>
  <si>
    <t>Aviator Charles Lindbergh was known as the "The Lone Eagle."</t>
  </si>
  <si>
    <t>Nostradamus was famous for making predictions.</t>
  </si>
  <si>
    <t>The ancient city of Babylon is located in modern-day Jordan.</t>
  </si>
  <si>
    <t>The show "The Price is Right" features the catch phrase "Come on Down!"</t>
  </si>
  <si>
    <t>At the Olympics, Greg Louganis hit his head on a balance beam.</t>
  </si>
  <si>
    <t>The human hand has 33 bones.</t>
  </si>
  <si>
    <t>Simon and Garfunkel sang about the Scarborough Fair.</t>
  </si>
  <si>
    <t>The largest borough in New York City is Brooklyn.</t>
  </si>
  <si>
    <t>The book "Uncle Tom's Cabin" was written by Harriet Beecher Stowe.</t>
  </si>
  <si>
    <t>Purple is not a primary color.</t>
  </si>
  <si>
    <t>Burt Lancaster starred in a movie as the "Birdman of Alcatraz"</t>
  </si>
  <si>
    <t>The two official languages of the Olympic Movement are English and French.</t>
  </si>
  <si>
    <t>In Spanish, the word "alcatraz" means Eagle.</t>
  </si>
  <si>
    <t xml:space="preserve">Senator Joseph McCarthy's middle name is Raymond. </t>
  </si>
  <si>
    <t>If you did not provide your contact information at the beginning of the survey, but you have decided that you want to receive feedback on your answers, you may provide your contact information below.</t>
  </si>
  <si>
    <t>_x0000_</t>
  </si>
  <si>
    <t>Response</t>
  </si>
  <si>
    <t>Contact info (name &amp; email):</t>
  </si>
  <si>
    <t>Agency:</t>
  </si>
  <si>
    <t>Years in Intelligence:</t>
  </si>
  <si>
    <t>Last academic degree obtained:</t>
  </si>
  <si>
    <t>Can we use your answers in a research study? (yes/no):</t>
  </si>
  <si>
    <t>State:</t>
  </si>
  <si>
    <t>ZIP:</t>
  </si>
  <si>
    <t>Country:</t>
  </si>
  <si>
    <t>Email Address:</t>
  </si>
  <si>
    <t>Phone Number:</t>
  </si>
  <si>
    <t>Open-Ended Response</t>
  </si>
  <si>
    <t>No</t>
  </si>
  <si>
    <t>Question</t>
  </si>
  <si>
    <t>TOTAL</t>
  </si>
  <si>
    <r>
      <t>True (</t>
    </r>
    <r>
      <rPr>
        <i/>
        <sz val="10"/>
        <rFont val="Tahoma"/>
        <family val="2"/>
      </rPr>
      <t xml:space="preserve">d </t>
    </r>
    <r>
      <rPr>
        <sz val="10"/>
        <rFont val="Tahoma"/>
        <family val="2"/>
      </rPr>
      <t>= 1</t>
    </r>
    <r>
      <rPr>
        <i/>
        <sz val="10"/>
        <rFont val="Tahoma"/>
        <family val="2"/>
      </rPr>
      <t>)</t>
    </r>
  </si>
  <si>
    <r>
      <t>False (</t>
    </r>
    <r>
      <rPr>
        <i/>
        <sz val="10"/>
        <rFont val="Tahoma"/>
        <family val="2"/>
      </rPr>
      <t xml:space="preserve">d </t>
    </r>
    <r>
      <rPr>
        <sz val="10"/>
        <rFont val="Tahoma"/>
        <family val="2"/>
      </rPr>
      <t>= 0)</t>
    </r>
  </si>
  <si>
    <r>
      <t xml:space="preserve">CI </t>
    </r>
    <r>
      <rPr>
        <b/>
        <sz val="10"/>
        <rFont val="Tahoma"/>
        <family val="2"/>
      </rPr>
      <t>=</t>
    </r>
  </si>
  <si>
    <t>SUM =</t>
  </si>
  <si>
    <t>False.  Chekov.</t>
  </si>
  <si>
    <t>True.</t>
  </si>
  <si>
    <t>False.  Sleep.</t>
  </si>
  <si>
    <t>False.  Chess.</t>
  </si>
  <si>
    <t>False.  Totally.</t>
  </si>
  <si>
    <t>False.  Cadillac.</t>
  </si>
  <si>
    <t>False.  Andy Warhol.</t>
  </si>
  <si>
    <t>False.  Summer.</t>
  </si>
  <si>
    <t>False. Hat.</t>
  </si>
  <si>
    <t>False.  Godspell.</t>
  </si>
  <si>
    <t>False.  30.</t>
  </si>
  <si>
    <t>False.  Ernestine.</t>
  </si>
  <si>
    <t>False.  Benjamin O. Davis, Sr.</t>
  </si>
  <si>
    <t>False.  Thanksgiving.</t>
  </si>
  <si>
    <t>False.  January 20th.</t>
  </si>
  <si>
    <t>False.  J.D. Salinger.</t>
  </si>
  <si>
    <t>False.  63.</t>
  </si>
  <si>
    <t>False.  Irving Berlin.</t>
  </si>
  <si>
    <t>False.  Inflamation of the brain tissue.</t>
  </si>
  <si>
    <t>False.  Bird.</t>
  </si>
  <si>
    <t>False.  Smith.</t>
  </si>
  <si>
    <t>False.  Cuba.</t>
  </si>
  <si>
    <t>False.  Moscow.</t>
  </si>
  <si>
    <t>False.  Nutmeg.</t>
  </si>
  <si>
    <t>False.  Witchey.</t>
  </si>
  <si>
    <t>False.  7.</t>
  </si>
  <si>
    <t>False.  Aeronautics.</t>
  </si>
  <si>
    <t>False.  Youth.</t>
  </si>
  <si>
    <t>False.  Lee.</t>
  </si>
  <si>
    <t>False.  Basketball.</t>
  </si>
  <si>
    <t>False.  Dorsal.</t>
  </si>
  <si>
    <t>False.  Road Runner.</t>
  </si>
  <si>
    <t>False.  Eight.</t>
  </si>
  <si>
    <t>False.  Philadelphia.</t>
  </si>
  <si>
    <t>False.  Valentine's Day.</t>
  </si>
  <si>
    <t>False. Norma Jean Baker.</t>
  </si>
  <si>
    <t>False.  Poloroid Camera.</t>
  </si>
  <si>
    <t>False.  Surveyor.</t>
  </si>
  <si>
    <t>False.  Tigger.</t>
  </si>
  <si>
    <t>False.  Sam Walter.</t>
  </si>
  <si>
    <t>False.  Pear shaped.</t>
  </si>
  <si>
    <t>False.  Star Wars.</t>
  </si>
  <si>
    <t>False.  Mulberry.</t>
  </si>
  <si>
    <t>False.  University.</t>
  </si>
  <si>
    <t>False.  Beagle.</t>
  </si>
  <si>
    <t>False. Heart.</t>
  </si>
  <si>
    <t>False.  Iraq.</t>
  </si>
  <si>
    <t>False.  Diving Board.</t>
  </si>
  <si>
    <t>False.  27.</t>
  </si>
  <si>
    <t>False.  Queens.</t>
  </si>
  <si>
    <t>False.  Gannet.</t>
  </si>
  <si>
    <t>Outcome</t>
  </si>
  <si>
    <t>Calibration Index =</t>
  </si>
  <si>
    <t>Perfectly Callibrated Confidence</t>
  </si>
  <si>
    <t>Explanation of Answer</t>
  </si>
  <si>
    <t>Your Probability Judgment</t>
  </si>
  <si>
    <t>Frequency of Actual Outcome</t>
  </si>
  <si>
    <t>Assessed Probability of Outcome</t>
  </si>
  <si>
    <t>Difference</t>
  </si>
  <si>
    <t>Mean PS =</t>
  </si>
  <si>
    <t>Directly Calculating the Probability Score (Mean PS or Brier Score)</t>
  </si>
  <si>
    <r>
      <t>d</t>
    </r>
    <r>
      <rPr>
        <i/>
        <vertAlign val="subscript"/>
        <sz val="10"/>
        <rFont val="Tahoma"/>
        <family val="2"/>
      </rPr>
      <t>0</t>
    </r>
    <r>
      <rPr>
        <sz val="10"/>
        <rFont val="Tahoma"/>
        <family val="2"/>
      </rPr>
      <t>=</t>
    </r>
  </si>
  <si>
    <r>
      <t>d</t>
    </r>
    <r>
      <rPr>
        <i/>
        <vertAlign val="subscript"/>
        <sz val="10"/>
        <rFont val="Tahoma"/>
        <family val="2"/>
      </rPr>
      <t>.1</t>
    </r>
    <r>
      <rPr>
        <sz val="10"/>
        <rFont val="Tahoma"/>
        <family val="2"/>
      </rPr>
      <t>=</t>
    </r>
  </si>
  <si>
    <r>
      <t>d</t>
    </r>
    <r>
      <rPr>
        <i/>
        <vertAlign val="subscript"/>
        <sz val="10"/>
        <rFont val="Tahoma"/>
        <family val="2"/>
      </rPr>
      <t>.3</t>
    </r>
    <r>
      <rPr>
        <sz val="10"/>
        <rFont val="Tahoma"/>
        <family val="2"/>
      </rPr>
      <t>=</t>
    </r>
  </si>
  <si>
    <r>
      <t>Judgment Category (f</t>
    </r>
    <r>
      <rPr>
        <u/>
        <vertAlign val="subscript"/>
        <sz val="10"/>
        <rFont val="Tahoma"/>
        <family val="2"/>
      </rPr>
      <t>j</t>
    </r>
    <r>
      <rPr>
        <u/>
        <sz val="10"/>
        <rFont val="Tahoma"/>
        <family val="2"/>
      </rPr>
      <t>)</t>
    </r>
  </si>
  <si>
    <t>Outcome (d)</t>
  </si>
  <si>
    <r>
      <t>d</t>
    </r>
    <r>
      <rPr>
        <i/>
        <vertAlign val="subscript"/>
        <sz val="10"/>
        <rFont val="Tahoma"/>
        <family val="2"/>
      </rPr>
      <t>.5</t>
    </r>
    <r>
      <rPr>
        <sz val="10"/>
        <rFont val="Tahoma"/>
        <family val="2"/>
      </rPr>
      <t>=</t>
    </r>
  </si>
  <si>
    <r>
      <t>d</t>
    </r>
    <r>
      <rPr>
        <i/>
        <vertAlign val="subscript"/>
        <sz val="10"/>
        <rFont val="Tahoma"/>
        <family val="2"/>
      </rPr>
      <t>.7</t>
    </r>
    <r>
      <rPr>
        <sz val="10"/>
        <rFont val="Tahoma"/>
        <family val="2"/>
      </rPr>
      <t>=</t>
    </r>
  </si>
  <si>
    <r>
      <t>d</t>
    </r>
    <r>
      <rPr>
        <i/>
        <vertAlign val="subscript"/>
        <sz val="10"/>
        <rFont val="Tahoma"/>
        <family val="2"/>
      </rPr>
      <t>.9</t>
    </r>
    <r>
      <rPr>
        <sz val="10"/>
        <rFont val="Tahoma"/>
        <family val="2"/>
      </rPr>
      <t>=</t>
    </r>
  </si>
  <si>
    <r>
      <t>d</t>
    </r>
    <r>
      <rPr>
        <i/>
        <vertAlign val="subscript"/>
        <sz val="10"/>
        <rFont val="Tahoma"/>
        <family val="2"/>
      </rPr>
      <t>1</t>
    </r>
    <r>
      <rPr>
        <sz val="10"/>
        <rFont val="Tahoma"/>
        <family val="2"/>
      </rPr>
      <t>=</t>
    </r>
  </si>
  <si>
    <r>
      <t>N</t>
    </r>
    <r>
      <rPr>
        <i/>
        <vertAlign val="subscript"/>
        <sz val="10"/>
        <rFont val="Tahoma"/>
        <family val="2"/>
      </rPr>
      <t>0</t>
    </r>
    <r>
      <rPr>
        <i/>
        <sz val="10"/>
        <rFont val="Tahoma"/>
        <family val="2"/>
      </rPr>
      <t>(0-d</t>
    </r>
    <r>
      <rPr>
        <i/>
        <vertAlign val="subscript"/>
        <sz val="10"/>
        <rFont val="Tahoma"/>
        <family val="2"/>
      </rPr>
      <t>0</t>
    </r>
    <r>
      <rPr>
        <i/>
        <sz val="10"/>
        <rFont val="Tahoma"/>
        <family val="2"/>
      </rPr>
      <t>)</t>
    </r>
    <r>
      <rPr>
        <i/>
        <vertAlign val="superscript"/>
        <sz val="10"/>
        <rFont val="Tahoma"/>
        <family val="2"/>
      </rPr>
      <t>2</t>
    </r>
    <r>
      <rPr>
        <i/>
        <sz val="10"/>
        <rFont val="Tahoma"/>
        <family val="2"/>
      </rPr>
      <t>=</t>
    </r>
  </si>
  <si>
    <r>
      <t>N</t>
    </r>
    <r>
      <rPr>
        <i/>
        <vertAlign val="subscript"/>
        <sz val="10"/>
        <rFont val="Tahoma"/>
        <family val="2"/>
      </rPr>
      <t>.1</t>
    </r>
    <r>
      <rPr>
        <i/>
        <sz val="10"/>
        <rFont val="Tahoma"/>
        <family val="2"/>
      </rPr>
      <t>(.1-d</t>
    </r>
    <r>
      <rPr>
        <i/>
        <vertAlign val="subscript"/>
        <sz val="10"/>
        <rFont val="Tahoma"/>
        <family val="2"/>
      </rPr>
      <t>.1</t>
    </r>
    <r>
      <rPr>
        <i/>
        <sz val="10"/>
        <rFont val="Tahoma"/>
        <family val="2"/>
      </rPr>
      <t>)</t>
    </r>
    <r>
      <rPr>
        <i/>
        <vertAlign val="superscript"/>
        <sz val="10"/>
        <rFont val="Tahoma"/>
        <family val="2"/>
      </rPr>
      <t>2</t>
    </r>
    <r>
      <rPr>
        <i/>
        <sz val="10"/>
        <rFont val="Tahoma"/>
        <family val="2"/>
      </rPr>
      <t>=</t>
    </r>
  </si>
  <si>
    <r>
      <t>N</t>
    </r>
    <r>
      <rPr>
        <i/>
        <vertAlign val="subscript"/>
        <sz val="10"/>
        <rFont val="Tahoma"/>
        <family val="2"/>
      </rPr>
      <t>.3</t>
    </r>
    <r>
      <rPr>
        <i/>
        <sz val="10"/>
        <rFont val="Tahoma"/>
        <family val="2"/>
      </rPr>
      <t>(.3-d</t>
    </r>
    <r>
      <rPr>
        <i/>
        <vertAlign val="subscript"/>
        <sz val="10"/>
        <rFont val="Tahoma"/>
        <family val="2"/>
      </rPr>
      <t>.3</t>
    </r>
    <r>
      <rPr>
        <i/>
        <sz val="10"/>
        <rFont val="Tahoma"/>
        <family val="2"/>
      </rPr>
      <t>)</t>
    </r>
    <r>
      <rPr>
        <i/>
        <vertAlign val="superscript"/>
        <sz val="10"/>
        <rFont val="Tahoma"/>
        <family val="2"/>
      </rPr>
      <t>2</t>
    </r>
    <r>
      <rPr>
        <i/>
        <sz val="10"/>
        <rFont val="Tahoma"/>
        <family val="2"/>
      </rPr>
      <t>=</t>
    </r>
  </si>
  <si>
    <r>
      <t>N</t>
    </r>
    <r>
      <rPr>
        <i/>
        <vertAlign val="subscript"/>
        <sz val="10"/>
        <rFont val="Tahoma"/>
        <family val="2"/>
      </rPr>
      <t>.5</t>
    </r>
    <r>
      <rPr>
        <i/>
        <sz val="10"/>
        <rFont val="Tahoma"/>
        <family val="2"/>
      </rPr>
      <t>(.5-d</t>
    </r>
    <r>
      <rPr>
        <i/>
        <vertAlign val="subscript"/>
        <sz val="10"/>
        <rFont val="Tahoma"/>
        <family val="2"/>
      </rPr>
      <t>.5</t>
    </r>
    <r>
      <rPr>
        <i/>
        <sz val="10"/>
        <rFont val="Tahoma"/>
        <family val="2"/>
      </rPr>
      <t>)</t>
    </r>
    <r>
      <rPr>
        <i/>
        <vertAlign val="superscript"/>
        <sz val="10"/>
        <rFont val="Tahoma"/>
        <family val="2"/>
      </rPr>
      <t>2</t>
    </r>
    <r>
      <rPr>
        <i/>
        <sz val="10"/>
        <rFont val="Tahoma"/>
        <family val="2"/>
      </rPr>
      <t>=</t>
    </r>
  </si>
  <si>
    <r>
      <t>N</t>
    </r>
    <r>
      <rPr>
        <i/>
        <vertAlign val="subscript"/>
        <sz val="10"/>
        <rFont val="Tahoma"/>
        <family val="2"/>
      </rPr>
      <t>.7</t>
    </r>
    <r>
      <rPr>
        <i/>
        <sz val="10"/>
        <rFont val="Tahoma"/>
        <family val="2"/>
      </rPr>
      <t>(.7-d</t>
    </r>
    <r>
      <rPr>
        <i/>
        <vertAlign val="subscript"/>
        <sz val="10"/>
        <rFont val="Tahoma"/>
        <family val="2"/>
      </rPr>
      <t>.7</t>
    </r>
    <r>
      <rPr>
        <i/>
        <sz val="10"/>
        <rFont val="Tahoma"/>
        <family val="2"/>
      </rPr>
      <t>)</t>
    </r>
    <r>
      <rPr>
        <i/>
        <vertAlign val="superscript"/>
        <sz val="10"/>
        <rFont val="Tahoma"/>
        <family val="2"/>
      </rPr>
      <t>2</t>
    </r>
    <r>
      <rPr>
        <i/>
        <sz val="10"/>
        <rFont val="Tahoma"/>
        <family val="2"/>
      </rPr>
      <t>=</t>
    </r>
  </si>
  <si>
    <r>
      <t>N</t>
    </r>
    <r>
      <rPr>
        <i/>
        <vertAlign val="subscript"/>
        <sz val="10"/>
        <rFont val="Tahoma"/>
        <family val="2"/>
      </rPr>
      <t>.9</t>
    </r>
    <r>
      <rPr>
        <i/>
        <sz val="10"/>
        <rFont val="Tahoma"/>
        <family val="2"/>
      </rPr>
      <t>(.9-d</t>
    </r>
    <r>
      <rPr>
        <i/>
        <vertAlign val="subscript"/>
        <sz val="10"/>
        <rFont val="Tahoma"/>
        <family val="2"/>
      </rPr>
      <t>.9</t>
    </r>
    <r>
      <rPr>
        <i/>
        <sz val="10"/>
        <rFont val="Tahoma"/>
        <family val="2"/>
      </rPr>
      <t>)</t>
    </r>
    <r>
      <rPr>
        <i/>
        <vertAlign val="superscript"/>
        <sz val="10"/>
        <rFont val="Tahoma"/>
        <family val="2"/>
      </rPr>
      <t>2</t>
    </r>
    <r>
      <rPr>
        <i/>
        <sz val="10"/>
        <rFont val="Tahoma"/>
        <family val="2"/>
      </rPr>
      <t>=</t>
    </r>
  </si>
  <si>
    <r>
      <t>N</t>
    </r>
    <r>
      <rPr>
        <i/>
        <vertAlign val="subscript"/>
        <sz val="10"/>
        <rFont val="Tahoma"/>
        <family val="2"/>
      </rPr>
      <t>1.0</t>
    </r>
    <r>
      <rPr>
        <i/>
        <sz val="10"/>
        <rFont val="Tahoma"/>
        <family val="2"/>
      </rPr>
      <t>(1-d</t>
    </r>
    <r>
      <rPr>
        <i/>
        <vertAlign val="subscript"/>
        <sz val="10"/>
        <rFont val="Tahoma"/>
        <family val="2"/>
      </rPr>
      <t>1.0</t>
    </r>
    <r>
      <rPr>
        <i/>
        <sz val="10"/>
        <rFont val="Tahoma"/>
        <family val="2"/>
      </rPr>
      <t>)</t>
    </r>
    <r>
      <rPr>
        <i/>
        <vertAlign val="superscript"/>
        <sz val="10"/>
        <rFont val="Tahoma"/>
        <family val="2"/>
      </rPr>
      <t>2</t>
    </r>
    <r>
      <rPr>
        <i/>
        <sz val="10"/>
        <rFont val="Tahoma"/>
        <family val="2"/>
      </rPr>
      <t>=</t>
    </r>
  </si>
  <si>
    <r>
      <t xml:space="preserve">DI </t>
    </r>
    <r>
      <rPr>
        <b/>
        <sz val="10"/>
        <rFont val="Tahoma"/>
        <family val="2"/>
      </rPr>
      <t>=</t>
    </r>
  </si>
  <si>
    <r>
      <t>N</t>
    </r>
    <r>
      <rPr>
        <i/>
        <vertAlign val="subscript"/>
        <sz val="10"/>
        <rFont val="Tahoma"/>
        <family val="2"/>
      </rPr>
      <t>1.0</t>
    </r>
    <r>
      <rPr>
        <i/>
        <sz val="10"/>
        <rFont val="Tahoma"/>
        <family val="2"/>
      </rPr>
      <t>(Mean d-d</t>
    </r>
    <r>
      <rPr>
        <i/>
        <vertAlign val="subscript"/>
        <sz val="10"/>
        <rFont val="Tahoma"/>
        <family val="2"/>
      </rPr>
      <t>1.0</t>
    </r>
    <r>
      <rPr>
        <i/>
        <sz val="10"/>
        <rFont val="Tahoma"/>
        <family val="2"/>
      </rPr>
      <t>)</t>
    </r>
    <r>
      <rPr>
        <i/>
        <vertAlign val="superscript"/>
        <sz val="10"/>
        <rFont val="Tahoma"/>
        <family val="2"/>
      </rPr>
      <t>2</t>
    </r>
    <r>
      <rPr>
        <i/>
        <sz val="10"/>
        <rFont val="Tahoma"/>
        <family val="2"/>
      </rPr>
      <t>=</t>
    </r>
  </si>
  <si>
    <t>Sum =</t>
  </si>
  <si>
    <r>
      <t xml:space="preserve">Calculating the Variance of </t>
    </r>
    <r>
      <rPr>
        <b/>
        <i/>
        <sz val="10"/>
        <rFont val="Tahoma"/>
        <family val="2"/>
      </rPr>
      <t>d</t>
    </r>
    <r>
      <rPr>
        <b/>
        <sz val="10"/>
        <rFont val="Tahoma"/>
        <family val="2"/>
      </rPr>
      <t xml:space="preserve"> (Var(</t>
    </r>
    <r>
      <rPr>
        <b/>
        <i/>
        <sz val="10"/>
        <rFont val="Tahoma"/>
        <family val="2"/>
      </rPr>
      <t>d</t>
    </r>
    <r>
      <rPr>
        <b/>
        <sz val="10"/>
        <rFont val="Tahoma"/>
        <family val="2"/>
      </rPr>
      <t>))</t>
    </r>
  </si>
  <si>
    <t>Var (d)=</t>
  </si>
  <si>
    <t>Mean d (1 - Mean d)=</t>
  </si>
  <si>
    <t>Mean Ps =</t>
  </si>
  <si>
    <t>Var(d) - DI + CI =</t>
  </si>
  <si>
    <t>Brier Score =</t>
  </si>
  <si>
    <t>Discrimination Index =</t>
  </si>
  <si>
    <t xml:space="preserve">The Brier Score (also known as the Mean Probability Score or PS) is the average squared error between your judgment and the actual outcome.  Since PS represents total error, it is a summary statistic that quantifies a judge's overall decision making ability.  Lower Brier scores are better.  A PS score of zero means there is no error between judgment, and the frequency of outcomes observed.  Errors in discrimination, or callibration will raise the Brier score.  </t>
  </si>
  <si>
    <r>
      <t>Difference</t>
    </r>
    <r>
      <rPr>
        <b/>
        <vertAlign val="superscript"/>
        <sz val="10"/>
        <rFont val="Tahoma"/>
        <family val="2"/>
      </rPr>
      <t>2</t>
    </r>
    <r>
      <rPr>
        <b/>
        <sz val="10"/>
        <rFont val="Tahoma"/>
        <family val="2"/>
      </rPr>
      <t xml:space="preserve"> (PS)</t>
    </r>
  </si>
  <si>
    <t>REPORT WILL BE GENERATED FOR THE DATA THAT IS IN ROW 6 ABOVE</t>
  </si>
  <si>
    <r>
      <t>d</t>
    </r>
    <r>
      <rPr>
        <i/>
        <vertAlign val="subscript"/>
        <sz val="10"/>
        <rFont val="Tahoma"/>
        <family val="2"/>
      </rPr>
      <t>1.0</t>
    </r>
    <r>
      <rPr>
        <sz val="10"/>
        <rFont val="Tahoma"/>
        <family val="2"/>
      </rPr>
      <t>=</t>
    </r>
  </si>
  <si>
    <r>
      <t>N</t>
    </r>
    <r>
      <rPr>
        <i/>
        <vertAlign val="subscript"/>
        <sz val="10"/>
        <rFont val="Tahoma"/>
        <family val="2"/>
      </rPr>
      <t>0</t>
    </r>
    <r>
      <rPr>
        <i/>
        <sz val="10"/>
        <rFont val="Tahoma"/>
        <family val="2"/>
      </rPr>
      <t>(Mean d-d</t>
    </r>
    <r>
      <rPr>
        <i/>
        <vertAlign val="subscript"/>
        <sz val="10"/>
        <rFont val="Tahoma"/>
        <family val="2"/>
      </rPr>
      <t>0</t>
    </r>
    <r>
      <rPr>
        <i/>
        <sz val="10"/>
        <rFont val="Tahoma"/>
        <family val="2"/>
      </rPr>
      <t>)</t>
    </r>
    <r>
      <rPr>
        <i/>
        <vertAlign val="superscript"/>
        <sz val="10"/>
        <rFont val="Tahoma"/>
        <family val="2"/>
      </rPr>
      <t>2</t>
    </r>
    <r>
      <rPr>
        <i/>
        <sz val="10"/>
        <rFont val="Tahoma"/>
        <family val="2"/>
      </rPr>
      <t>=</t>
    </r>
  </si>
  <si>
    <r>
      <t>N</t>
    </r>
    <r>
      <rPr>
        <i/>
        <vertAlign val="subscript"/>
        <sz val="10"/>
        <rFont val="Tahoma"/>
        <family val="2"/>
      </rPr>
      <t>.1</t>
    </r>
    <r>
      <rPr>
        <i/>
        <sz val="10"/>
        <rFont val="Tahoma"/>
        <family val="2"/>
      </rPr>
      <t>(Mean d-d</t>
    </r>
    <r>
      <rPr>
        <i/>
        <vertAlign val="subscript"/>
        <sz val="10"/>
        <rFont val="Tahoma"/>
        <family val="2"/>
      </rPr>
      <t>.1</t>
    </r>
    <r>
      <rPr>
        <i/>
        <sz val="10"/>
        <rFont val="Tahoma"/>
        <family val="2"/>
      </rPr>
      <t>)</t>
    </r>
    <r>
      <rPr>
        <i/>
        <vertAlign val="superscript"/>
        <sz val="10"/>
        <rFont val="Tahoma"/>
        <family val="2"/>
      </rPr>
      <t>2</t>
    </r>
    <r>
      <rPr>
        <i/>
        <sz val="10"/>
        <rFont val="Tahoma"/>
        <family val="2"/>
      </rPr>
      <t>=</t>
    </r>
  </si>
  <si>
    <r>
      <t>N</t>
    </r>
    <r>
      <rPr>
        <i/>
        <vertAlign val="subscript"/>
        <sz val="10"/>
        <rFont val="Tahoma"/>
        <family val="2"/>
      </rPr>
      <t>.3</t>
    </r>
    <r>
      <rPr>
        <i/>
        <sz val="10"/>
        <rFont val="Tahoma"/>
        <family val="2"/>
      </rPr>
      <t>(Mean d-d</t>
    </r>
    <r>
      <rPr>
        <i/>
        <vertAlign val="subscript"/>
        <sz val="10"/>
        <rFont val="Tahoma"/>
        <family val="2"/>
      </rPr>
      <t>.3</t>
    </r>
    <r>
      <rPr>
        <i/>
        <sz val="10"/>
        <rFont val="Tahoma"/>
        <family val="2"/>
      </rPr>
      <t>)</t>
    </r>
    <r>
      <rPr>
        <i/>
        <vertAlign val="superscript"/>
        <sz val="10"/>
        <rFont val="Tahoma"/>
        <family val="2"/>
      </rPr>
      <t>2</t>
    </r>
    <r>
      <rPr>
        <i/>
        <sz val="10"/>
        <rFont val="Tahoma"/>
        <family val="2"/>
      </rPr>
      <t>=</t>
    </r>
  </si>
  <si>
    <r>
      <t>N</t>
    </r>
    <r>
      <rPr>
        <i/>
        <vertAlign val="subscript"/>
        <sz val="10"/>
        <rFont val="Tahoma"/>
        <family val="2"/>
      </rPr>
      <t>.5</t>
    </r>
    <r>
      <rPr>
        <i/>
        <sz val="10"/>
        <rFont val="Tahoma"/>
        <family val="2"/>
      </rPr>
      <t>(Mean d-d</t>
    </r>
    <r>
      <rPr>
        <i/>
        <vertAlign val="subscript"/>
        <sz val="10"/>
        <rFont val="Tahoma"/>
        <family val="2"/>
      </rPr>
      <t>.5</t>
    </r>
    <r>
      <rPr>
        <i/>
        <sz val="10"/>
        <rFont val="Tahoma"/>
        <family val="2"/>
      </rPr>
      <t>)</t>
    </r>
    <r>
      <rPr>
        <i/>
        <vertAlign val="superscript"/>
        <sz val="10"/>
        <rFont val="Tahoma"/>
        <family val="2"/>
      </rPr>
      <t>2</t>
    </r>
    <r>
      <rPr>
        <i/>
        <sz val="10"/>
        <rFont val="Tahoma"/>
        <family val="2"/>
      </rPr>
      <t>=</t>
    </r>
  </si>
  <si>
    <r>
      <t>N</t>
    </r>
    <r>
      <rPr>
        <i/>
        <vertAlign val="subscript"/>
        <sz val="10"/>
        <rFont val="Tahoma"/>
        <family val="2"/>
      </rPr>
      <t>.7</t>
    </r>
    <r>
      <rPr>
        <i/>
        <sz val="10"/>
        <rFont val="Tahoma"/>
        <family val="2"/>
      </rPr>
      <t>(Mean d-d</t>
    </r>
    <r>
      <rPr>
        <i/>
        <vertAlign val="subscript"/>
        <sz val="10"/>
        <rFont val="Tahoma"/>
        <family val="2"/>
      </rPr>
      <t>.7</t>
    </r>
    <r>
      <rPr>
        <i/>
        <sz val="10"/>
        <rFont val="Tahoma"/>
        <family val="2"/>
      </rPr>
      <t>)</t>
    </r>
    <r>
      <rPr>
        <i/>
        <vertAlign val="superscript"/>
        <sz val="10"/>
        <rFont val="Tahoma"/>
        <family val="2"/>
      </rPr>
      <t>2</t>
    </r>
    <r>
      <rPr>
        <i/>
        <sz val="10"/>
        <rFont val="Tahoma"/>
        <family val="2"/>
      </rPr>
      <t>=</t>
    </r>
  </si>
  <si>
    <r>
      <t>N</t>
    </r>
    <r>
      <rPr>
        <i/>
        <vertAlign val="subscript"/>
        <sz val="10"/>
        <rFont val="Tahoma"/>
        <family val="2"/>
      </rPr>
      <t>.9</t>
    </r>
    <r>
      <rPr>
        <i/>
        <sz val="10"/>
        <rFont val="Tahoma"/>
        <family val="2"/>
      </rPr>
      <t>(Mean d-d</t>
    </r>
    <r>
      <rPr>
        <i/>
        <vertAlign val="subscript"/>
        <sz val="10"/>
        <rFont val="Tahoma"/>
        <family val="2"/>
      </rPr>
      <t>.9</t>
    </r>
    <r>
      <rPr>
        <i/>
        <sz val="10"/>
        <rFont val="Tahoma"/>
        <family val="2"/>
      </rPr>
      <t>)</t>
    </r>
    <r>
      <rPr>
        <i/>
        <vertAlign val="superscript"/>
        <sz val="10"/>
        <rFont val="Tahoma"/>
        <family val="2"/>
      </rPr>
      <t>2</t>
    </r>
    <r>
      <rPr>
        <i/>
        <sz val="10"/>
        <rFont val="Tahoma"/>
        <family val="2"/>
      </rPr>
      <t>=</t>
    </r>
  </si>
  <si>
    <t xml:space="preserve">This graph displays how well your stated confidence is callibrated to reality.  A judge is said to be well calibrated to the extent that his or her judgments correspond to the proportion of times that the predicted event actually takes place.  In other words, when you say you are 70% confident a given outcome will occur, that outcome occurs approximately 70% of the time.  The dotted line, falling along a 45 degree angle, represents perfect callibration.  If a judge were perfectly calibrated, all of the judge's assessments would fall on this line.  Your assessments are represented by the red diamonds.  The distance between your assessments and the 45 degree line represents an error in confidence calibration.  The Calibration Index (CI) is a number that quantifies the total amount of this error.  The lower your CI score, the better.  A perfectly callibrated judge has a CI of zero.  The solid line is a best-fit line that is drawn based on all of your data points.  If you are like most people, then your best-fit line is 'flatter' than the 45 degree ideal.  This reflects overconfidence.  In other words, when you say you are 80% confident an event will occur, the event actually occurs less than 80% of the time.  </t>
  </si>
  <si>
    <t>Calculating Bias</t>
  </si>
  <si>
    <r>
      <t>Average Outcome (</t>
    </r>
    <r>
      <rPr>
        <i/>
        <sz val="10"/>
        <rFont val="Tahoma"/>
        <family val="2"/>
      </rPr>
      <t>d bar</t>
    </r>
    <r>
      <rPr>
        <sz val="10"/>
        <rFont val="Tahoma"/>
        <family val="2"/>
      </rPr>
      <t>) =</t>
    </r>
  </si>
  <si>
    <r>
      <t>Average Judgment (</t>
    </r>
    <r>
      <rPr>
        <i/>
        <sz val="10"/>
        <rFont val="Tahoma"/>
        <family val="2"/>
      </rPr>
      <t>f bar</t>
    </r>
    <r>
      <rPr>
        <sz val="10"/>
        <rFont val="Tahoma"/>
        <family val="2"/>
      </rPr>
      <t>) =</t>
    </r>
  </si>
  <si>
    <t>Bias =</t>
  </si>
  <si>
    <t>Calculating Slope</t>
  </si>
  <si>
    <t xml:space="preserve">Discrimination refers to the ability to distinguish those occasions when the target is present from those occasions where the target is not present.  The "ideal" judge in a discrimination task would be able to decisively and perfectly differentiate test items into two seperate classes, Category A versus Category B.  However, in difficult situations in which good binary discrimination is imposisble to achieve because of the high level of uncertainty, laypeople and even experts often resort to probabilistic judgments.  The discrimination index (DI) quantifies your ability to differentiate instances when an event is going to occur from those that are not.  Higher scores represent better discrimination.  Perfect discrimination in this task would result in a DI of .25      </t>
  </si>
  <si>
    <t>Slope =</t>
  </si>
  <si>
    <r>
      <t>Average Judgment when outcome = 1(</t>
    </r>
    <r>
      <rPr>
        <i/>
        <sz val="10"/>
        <rFont val="Tahoma"/>
        <family val="2"/>
      </rPr>
      <t>f</t>
    </r>
    <r>
      <rPr>
        <i/>
        <vertAlign val="subscript"/>
        <sz val="10"/>
        <rFont val="Tahoma"/>
        <family val="2"/>
      </rPr>
      <t>d=1</t>
    </r>
    <r>
      <rPr>
        <i/>
        <sz val="10"/>
        <rFont val="Tahoma"/>
        <family val="2"/>
      </rPr>
      <t xml:space="preserve"> bar</t>
    </r>
    <r>
      <rPr>
        <sz val="10"/>
        <rFont val="Tahoma"/>
        <family val="2"/>
      </rPr>
      <t>) =</t>
    </r>
  </si>
  <si>
    <r>
      <t>Average Judgment when outcome = 0(</t>
    </r>
    <r>
      <rPr>
        <i/>
        <sz val="10"/>
        <rFont val="Tahoma"/>
        <family val="2"/>
      </rPr>
      <t>f</t>
    </r>
    <r>
      <rPr>
        <i/>
        <vertAlign val="subscript"/>
        <sz val="10"/>
        <rFont val="Tahoma"/>
        <family val="2"/>
      </rPr>
      <t>d=0</t>
    </r>
    <r>
      <rPr>
        <i/>
        <sz val="10"/>
        <rFont val="Tahoma"/>
        <family val="2"/>
      </rPr>
      <t xml:space="preserve"> bar</t>
    </r>
    <r>
      <rPr>
        <sz val="10"/>
        <rFont val="Tahoma"/>
        <family val="2"/>
      </rPr>
      <t>) =</t>
    </r>
  </si>
  <si>
    <t>Est. (d=1)</t>
  </si>
  <si>
    <t>Est. (d=0)</t>
  </si>
  <si>
    <t>SUM</t>
  </si>
  <si>
    <t>Calculating Scatter</t>
  </si>
  <si>
    <r>
      <t>N</t>
    </r>
    <r>
      <rPr>
        <vertAlign val="subscript"/>
        <sz val="10"/>
        <rFont val="Tahoma"/>
        <family val="2"/>
      </rPr>
      <t xml:space="preserve">1 </t>
    </r>
    <r>
      <rPr>
        <sz val="10"/>
        <rFont val="Tahoma"/>
        <family val="2"/>
      </rPr>
      <t>=</t>
    </r>
  </si>
  <si>
    <r>
      <t>Var</t>
    </r>
    <r>
      <rPr>
        <vertAlign val="subscript"/>
        <sz val="10"/>
        <rFont val="Tahoma"/>
        <family val="2"/>
      </rPr>
      <t>f1</t>
    </r>
    <r>
      <rPr>
        <sz val="10"/>
        <rFont val="Tahoma"/>
        <family val="2"/>
      </rPr>
      <t xml:space="preserve"> =</t>
    </r>
  </si>
  <si>
    <r>
      <t>N</t>
    </r>
    <r>
      <rPr>
        <vertAlign val="subscript"/>
        <sz val="10"/>
        <rFont val="Tahoma"/>
        <family val="2"/>
      </rPr>
      <t>0</t>
    </r>
    <r>
      <rPr>
        <sz val="10"/>
        <rFont val="Tahoma"/>
        <family val="2"/>
      </rPr>
      <t xml:space="preserve"> =</t>
    </r>
  </si>
  <si>
    <r>
      <t>Var</t>
    </r>
    <r>
      <rPr>
        <vertAlign val="subscript"/>
        <sz val="10"/>
        <rFont val="Tahoma"/>
        <family val="2"/>
      </rPr>
      <t>f0</t>
    </r>
    <r>
      <rPr>
        <sz val="10"/>
        <rFont val="Tahoma"/>
        <family val="2"/>
      </rPr>
      <t xml:space="preserve"> =</t>
    </r>
  </si>
  <si>
    <r>
      <t>d</t>
    </r>
    <r>
      <rPr>
        <vertAlign val="subscript"/>
        <sz val="10"/>
        <rFont val="Tahoma"/>
        <family val="2"/>
      </rPr>
      <t>1</t>
    </r>
    <r>
      <rPr>
        <sz val="10"/>
        <rFont val="Tahoma"/>
        <family val="2"/>
      </rPr>
      <t>bar =</t>
    </r>
  </si>
  <si>
    <r>
      <t>d</t>
    </r>
    <r>
      <rPr>
        <vertAlign val="subscript"/>
        <sz val="10"/>
        <rFont val="Tahoma"/>
        <family val="2"/>
      </rPr>
      <t>0</t>
    </r>
    <r>
      <rPr>
        <sz val="10"/>
        <rFont val="Tahoma"/>
        <family val="2"/>
      </rPr>
      <t>bar =</t>
    </r>
  </si>
  <si>
    <t>Scatter =</t>
  </si>
  <si>
    <r>
      <t>Where scatter = [N</t>
    </r>
    <r>
      <rPr>
        <vertAlign val="subscript"/>
        <sz val="10"/>
        <rFont val="Tahoma"/>
        <family val="2"/>
      </rPr>
      <t>1</t>
    </r>
    <r>
      <rPr>
        <sz val="10"/>
        <rFont val="Tahoma"/>
        <family val="2"/>
      </rPr>
      <t>(Var(f</t>
    </r>
    <r>
      <rPr>
        <vertAlign val="subscript"/>
        <sz val="10"/>
        <rFont val="Tahoma"/>
        <family val="2"/>
      </rPr>
      <t>1</t>
    </r>
    <r>
      <rPr>
        <sz val="10"/>
        <rFont val="Tahoma"/>
        <family val="2"/>
      </rPr>
      <t>) + N</t>
    </r>
    <r>
      <rPr>
        <vertAlign val="subscript"/>
        <sz val="10"/>
        <rFont val="Tahoma"/>
        <family val="2"/>
      </rPr>
      <t>0</t>
    </r>
    <r>
      <rPr>
        <sz val="10"/>
        <rFont val="Tahoma"/>
        <family val="2"/>
      </rPr>
      <t>Var(f</t>
    </r>
    <r>
      <rPr>
        <vertAlign val="subscript"/>
        <sz val="10"/>
        <rFont val="Tahoma"/>
        <family val="2"/>
      </rPr>
      <t>0</t>
    </r>
    <r>
      <rPr>
        <sz val="10"/>
        <rFont val="Tahoma"/>
        <family val="2"/>
      </rPr>
      <t>)] / [N</t>
    </r>
    <r>
      <rPr>
        <vertAlign val="subscript"/>
        <sz val="10"/>
        <rFont val="Tahoma"/>
        <family val="2"/>
      </rPr>
      <t>1</t>
    </r>
    <r>
      <rPr>
        <sz val="10"/>
        <rFont val="Tahoma"/>
        <family val="2"/>
      </rPr>
      <t xml:space="preserve"> + N</t>
    </r>
    <r>
      <rPr>
        <vertAlign val="subscript"/>
        <sz val="10"/>
        <rFont val="Tahoma"/>
        <family val="2"/>
      </rPr>
      <t>0</t>
    </r>
    <r>
      <rPr>
        <sz val="10"/>
        <rFont val="Tahoma"/>
        <family val="2"/>
      </rPr>
      <t>]</t>
    </r>
  </si>
  <si>
    <t>Scat. =</t>
  </si>
  <si>
    <t>Murphy Decomp =</t>
  </si>
  <si>
    <t>Cov Decomp =</t>
  </si>
  <si>
    <t>Alternate Ways of computing Brier Score</t>
  </si>
  <si>
    <t>Alternate ways of computing Brier Score</t>
  </si>
  <si>
    <t>d bar (Mean outcome)</t>
  </si>
  <si>
    <t>45 degree line</t>
  </si>
  <si>
    <r>
      <rPr>
        <i/>
        <sz val="10"/>
        <rFont val="Tahoma"/>
        <family val="2"/>
      </rPr>
      <t xml:space="preserve">d </t>
    </r>
    <r>
      <rPr>
        <sz val="10"/>
        <rFont val="Tahoma"/>
        <family val="2"/>
      </rPr>
      <t>= 1</t>
    </r>
  </si>
  <si>
    <r>
      <rPr>
        <i/>
        <sz val="10"/>
        <rFont val="Tahoma"/>
        <family val="2"/>
      </rPr>
      <t xml:space="preserve">d </t>
    </r>
    <r>
      <rPr>
        <sz val="10"/>
        <rFont val="Tahoma"/>
        <family val="2"/>
      </rPr>
      <t>= 0</t>
    </r>
  </si>
  <si>
    <t>Slope</t>
  </si>
  <si>
    <t>f</t>
  </si>
  <si>
    <r>
      <t>f</t>
    </r>
    <r>
      <rPr>
        <b/>
        <u/>
        <vertAlign val="subscript"/>
        <sz val="10"/>
        <rFont val="Tahoma"/>
        <family val="2"/>
      </rPr>
      <t>0</t>
    </r>
  </si>
  <si>
    <r>
      <t>f</t>
    </r>
    <r>
      <rPr>
        <b/>
        <u/>
        <vertAlign val="subscript"/>
        <sz val="10"/>
        <rFont val="Tahoma"/>
        <family val="2"/>
      </rPr>
      <t>1</t>
    </r>
  </si>
  <si>
    <t>-</t>
  </si>
  <si>
    <t>=</t>
  </si>
  <si>
    <r>
      <t>At the top of this table, you'll see four numbers.  The first number is the mean probability score, also know as the Brier score.  It quantifies the total error associated with your judgments on this task.  A low Brier score is better than a high one.  A Brier score of zero represents no judgmental error.  It's computed by finding the difference between your probability judgement (f) and the  actual outcome (</t>
    </r>
    <r>
      <rPr>
        <i/>
        <sz val="10"/>
        <rFont val="Times New Roman"/>
        <family val="1"/>
      </rPr>
      <t>d</t>
    </r>
    <r>
      <rPr>
        <sz val="10"/>
        <rFont val="Times New Roman"/>
        <family val="1"/>
      </rPr>
      <t>).  This difference is then squared.  This calculation is performed for each of your judgments, and then these calculations are all averaged to compute your Brier score.</t>
    </r>
  </si>
  <si>
    <r>
      <t xml:space="preserve">Several types of judgmental errors contribute to overall total error.  One component of total error is bias.  Bias is computed by calculating your average probability assigned (mean f, represented by the dotted horizontal line), and subtracting the average probability of the event actually occurring (mean </t>
    </r>
    <r>
      <rPr>
        <i/>
        <sz val="10"/>
        <rFont val="Times New Roman"/>
        <family val="1"/>
      </rPr>
      <t xml:space="preserve">d, </t>
    </r>
    <r>
      <rPr>
        <sz val="10"/>
        <rFont val="Times New Roman"/>
        <family val="1"/>
      </rPr>
      <t xml:space="preserve">represented by the dotted vertical line).  The black line at a 45 degree angle represents perfect, unbiased callibration.  If the two dotted lines intersect above the 45 degree line, it means you were, on average, positively biased (you thought the outcome was more likely than it really was).  If the two lines intersect below the 45 degree line, you were negatively biased (you thought the outcome was less likely to occur than it really was).  This is also reflected in the sign of your bias statistic (+ for positive bias, - for negative bias).  A lower bias statistic is better.      </t>
    </r>
  </si>
  <si>
    <r>
      <t>The last measure, scatter, is represented on the graph by the two histograms that appear on the vertical axes above the 0 and 1 values of the outcome index.  The histogram on the left (</t>
    </r>
    <r>
      <rPr>
        <i/>
        <sz val="10"/>
        <rFont val="Tahoma"/>
        <family val="2"/>
      </rPr>
      <t>d</t>
    </r>
    <r>
      <rPr>
        <sz val="10"/>
        <rFont val="Tahoma"/>
        <family val="2"/>
      </rPr>
      <t xml:space="preserve"> = 0) represents the assigned probabilities when the outcome did not occur.  The histogram on the right represents the assigned probabilities when the outcome occurred (</t>
    </r>
    <r>
      <rPr>
        <i/>
        <sz val="10"/>
        <rFont val="Tahoma"/>
        <family val="2"/>
      </rPr>
      <t>d</t>
    </r>
    <r>
      <rPr>
        <sz val="10"/>
        <rFont val="Tahoma"/>
        <family val="2"/>
      </rPr>
      <t xml:space="preserve"> = 1).  As the histogram gets more "spread out", scatter is said to increase.  Low scatter is better.    </t>
    </r>
  </si>
  <si>
    <t>yes</t>
  </si>
  <si>
    <r>
      <t>Slope is a measure of discrimination.  It refleccts how well you were able to sort the judgments in to the appropriate cattegory.  It's computed by taking your average judgment when the outcome did occur (f</t>
    </r>
    <r>
      <rPr>
        <vertAlign val="subscript"/>
        <sz val="10"/>
        <rFont val="Times New Roman"/>
        <family val="1"/>
      </rPr>
      <t>1</t>
    </r>
    <r>
      <rPr>
        <sz val="10"/>
        <rFont val="Times New Roman"/>
        <family val="1"/>
      </rPr>
      <t>), and subtracting your average judgement when the outcome did not occur (f</t>
    </r>
    <r>
      <rPr>
        <vertAlign val="subscript"/>
        <sz val="10"/>
        <rFont val="Times New Roman"/>
        <family val="1"/>
      </rPr>
      <t>0</t>
    </r>
    <r>
      <rPr>
        <sz val="10"/>
        <rFont val="Times New Roman"/>
        <family val="1"/>
      </rPr>
      <t xml:space="preserve">).  Slope is charted on the graph as the solid red line.  If a poor judge gave the same probability to all judgments, they would have poor discrimination and their slope would be zero, resulting in a flat line.  Perfect judgment would result in a slope that overlaps the 45 degree line.  A higher slope reflects better discrimination.  </t>
    </r>
  </si>
  <si>
    <t>US Army</t>
  </si>
  <si>
    <t>BS</t>
  </si>
  <si>
    <t>Yes</t>
  </si>
  <si>
    <t>wendy.ohare@dia.mil</t>
  </si>
  <si>
    <t>benjamin.conde@dia.mil</t>
  </si>
  <si>
    <t>DIA</t>
  </si>
  <si>
    <t>M.S. in Mathematics</t>
  </si>
  <si>
    <t>Kevin Gallop silverbluex5@hotmail.com</t>
  </si>
  <si>
    <t>BA</t>
  </si>
  <si>
    <t>Kevin Gallop silverbluex5@hotmail.com;kevin.gallop@us.army.mil</t>
  </si>
  <si>
    <r>
      <t xml:space="preserve">According to folklore, the sandman helps children </t>
    </r>
    <r>
      <rPr>
        <u/>
        <sz val="11"/>
        <color theme="1"/>
        <rFont val="Calibri"/>
        <family val="2"/>
        <scheme val="minor"/>
      </rPr>
      <t>grow</t>
    </r>
    <r>
      <rPr>
        <sz val="10"/>
        <rFont val="Tahoma"/>
        <family val="2"/>
      </rPr>
      <t>.</t>
    </r>
  </si>
  <si>
    <r>
      <t xml:space="preserve">In the Peanuts cartoon, the character </t>
    </r>
    <r>
      <rPr>
        <u/>
        <sz val="11"/>
        <color theme="1"/>
        <rFont val="Calibri"/>
        <family val="2"/>
        <scheme val="minor"/>
      </rPr>
      <t>Schroeder</t>
    </r>
    <r>
      <rPr>
        <sz val="10"/>
        <rFont val="Tahoma"/>
        <family val="2"/>
      </rPr>
      <t xml:space="preserve"> plays the piano.</t>
    </r>
  </si>
  <si>
    <r>
      <t xml:space="preserve">The color </t>
    </r>
    <r>
      <rPr>
        <u/>
        <sz val="11"/>
        <color theme="1"/>
        <rFont val="Calibri"/>
        <family val="2"/>
        <scheme val="minor"/>
      </rPr>
      <t>brown</t>
    </r>
    <r>
      <rPr>
        <sz val="10"/>
        <rFont val="Tahoma"/>
        <family val="2"/>
      </rPr>
      <t xml:space="preserve"> is not found in a rainbow.</t>
    </r>
  </si>
  <si>
    <r>
      <t xml:space="preserve">The term "in toto" means </t>
    </r>
    <r>
      <rPr>
        <u/>
        <sz val="11"/>
        <color theme="1"/>
        <rFont val="Calibri"/>
        <family val="2"/>
        <scheme val="minor"/>
      </rPr>
      <t>on your toes</t>
    </r>
    <r>
      <rPr>
        <sz val="10"/>
        <rFont val="Tahoma"/>
        <family val="2"/>
      </rPr>
      <t>.</t>
    </r>
  </si>
  <si>
    <r>
      <t>Buick</t>
    </r>
    <r>
      <rPr>
        <sz val="10"/>
        <rFont val="Tahoma"/>
        <family val="2"/>
      </rPr>
      <t xml:space="preserve"> is named after the founder of Detroit.</t>
    </r>
  </si>
  <si>
    <r>
      <rPr>
        <u/>
        <sz val="11"/>
        <color theme="1"/>
        <rFont val="Calibri"/>
        <family val="2"/>
        <scheme val="minor"/>
      </rPr>
      <t>Memorial Day</t>
    </r>
    <r>
      <rPr>
        <sz val="10"/>
        <rFont val="Tahoma"/>
        <family val="2"/>
      </rPr>
      <t xml:space="preserve"> is observed on the last Thursday of November.</t>
    </r>
  </si>
  <si>
    <r>
      <t xml:space="preserve">The </t>
    </r>
    <r>
      <rPr>
        <u/>
        <sz val="11"/>
        <color theme="1"/>
        <rFont val="Calibri"/>
        <family val="2"/>
        <scheme val="minor"/>
      </rPr>
      <t>willow</t>
    </r>
    <r>
      <rPr>
        <sz val="10"/>
        <rFont val="Tahoma"/>
        <family val="2"/>
      </rPr>
      <t xml:space="preserve"> tree is sometimes described as "weeping".</t>
    </r>
  </si>
  <si>
    <r>
      <t xml:space="preserve">The TV show "Cheers" was set in the city of </t>
    </r>
    <r>
      <rPr>
        <u/>
        <sz val="11"/>
        <color theme="1"/>
        <rFont val="Calibri"/>
        <family val="2"/>
        <scheme val="minor"/>
      </rPr>
      <t>Boston</t>
    </r>
    <r>
      <rPr>
        <sz val="10"/>
        <rFont val="Tahoma"/>
        <family val="2"/>
      </rPr>
      <t>.</t>
    </r>
  </si>
  <si>
    <r>
      <t xml:space="preserve">In a standard game of checkers, each side starts with </t>
    </r>
    <r>
      <rPr>
        <u/>
        <sz val="11"/>
        <color theme="1"/>
        <rFont val="Calibri"/>
        <family val="2"/>
        <scheme val="minor"/>
      </rPr>
      <t>12</t>
    </r>
    <r>
      <rPr>
        <sz val="10"/>
        <rFont val="Tahoma"/>
        <family val="2"/>
      </rPr>
      <t xml:space="preserve"> pieces.</t>
    </r>
  </si>
  <si>
    <r>
      <t xml:space="preserve">The Eagles sang about a </t>
    </r>
    <r>
      <rPr>
        <u/>
        <sz val="11"/>
        <color theme="1"/>
        <rFont val="Calibri"/>
        <family val="2"/>
        <scheme val="minor"/>
      </rPr>
      <t>Twitchey</t>
    </r>
    <r>
      <rPr>
        <sz val="10"/>
        <rFont val="Tahoma"/>
        <family val="2"/>
      </rPr>
      <t xml:space="preserve"> woman.</t>
    </r>
  </si>
  <si>
    <r>
      <t xml:space="preserve">The Republican party is known by the three initials </t>
    </r>
    <r>
      <rPr>
        <u/>
        <sz val="11"/>
        <color theme="1"/>
        <rFont val="Calibri"/>
        <family val="2"/>
        <scheme val="minor"/>
      </rPr>
      <t>GOP</t>
    </r>
    <r>
      <rPr>
        <sz val="10"/>
        <rFont val="Tahoma"/>
        <family val="2"/>
      </rPr>
      <t>.</t>
    </r>
  </si>
  <si>
    <r>
      <t xml:space="preserve">The </t>
    </r>
    <r>
      <rPr>
        <u/>
        <sz val="11"/>
        <color theme="1"/>
        <rFont val="Calibri"/>
        <family val="2"/>
        <scheme val="minor"/>
      </rPr>
      <t>Football</t>
    </r>
    <r>
      <rPr>
        <sz val="10"/>
        <rFont val="Tahoma"/>
        <family val="2"/>
      </rPr>
      <t xml:space="preserve"> Hall of Fame is located in Springfield, Massachusetts.</t>
    </r>
  </si>
  <si>
    <r>
      <t xml:space="preserve">The general store in "Little House on the Prairie" was owned by </t>
    </r>
    <r>
      <rPr>
        <u/>
        <sz val="11"/>
        <color theme="1"/>
        <rFont val="Calibri"/>
        <family val="2"/>
        <scheme val="minor"/>
      </rPr>
      <t>the Olesons</t>
    </r>
    <r>
      <rPr>
        <sz val="10"/>
        <rFont val="Tahoma"/>
        <family val="2"/>
      </rPr>
      <t>.</t>
    </r>
  </si>
  <si>
    <r>
      <t xml:space="preserve">The cartoon character Wile E. Coyote normally chases </t>
    </r>
    <r>
      <rPr>
        <u/>
        <sz val="11"/>
        <color theme="1"/>
        <rFont val="Calibri"/>
        <family val="2"/>
        <scheme val="minor"/>
      </rPr>
      <t>Pepe le Pew</t>
    </r>
    <r>
      <rPr>
        <sz val="10"/>
        <rFont val="Tahoma"/>
        <family val="2"/>
      </rPr>
      <t>.</t>
    </r>
  </si>
  <si>
    <r>
      <t xml:space="preserve">Hot Springs, New Mexico changed its name to </t>
    </r>
    <r>
      <rPr>
        <u/>
        <sz val="11"/>
        <color theme="1"/>
        <rFont val="Calibri"/>
        <family val="2"/>
        <scheme val="minor"/>
      </rPr>
      <t>Truth or Consequences</t>
    </r>
    <r>
      <rPr>
        <sz val="10"/>
        <rFont val="Tahoma"/>
        <family val="2"/>
      </rPr>
      <t>.</t>
    </r>
  </si>
  <si>
    <r>
      <t xml:space="preserve">There are </t>
    </r>
    <r>
      <rPr>
        <u/>
        <sz val="11"/>
        <color theme="1"/>
        <rFont val="Calibri"/>
        <family val="2"/>
        <scheme val="minor"/>
      </rPr>
      <t>26</t>
    </r>
    <r>
      <rPr>
        <sz val="10"/>
        <rFont val="Tahoma"/>
        <family val="2"/>
      </rPr>
      <t xml:space="preserve"> letters in the English alphabet.</t>
    </r>
  </si>
  <si>
    <r>
      <t>Cincinnati</t>
    </r>
    <r>
      <rPr>
        <sz val="10"/>
        <rFont val="Tahoma"/>
        <family val="2"/>
      </rPr>
      <t xml:space="preserve"> is the hometown of Sylvester Stallone, and his character Rocky.</t>
    </r>
  </si>
  <si>
    <r>
      <t>Ides of March</t>
    </r>
    <r>
      <rPr>
        <sz val="10"/>
        <rFont val="Tahoma"/>
        <family val="2"/>
      </rPr>
      <t xml:space="preserve"> is celebrated on February 14th.</t>
    </r>
  </si>
  <si>
    <r>
      <t xml:space="preserve">The "Wal" in Wal-Mart refers to </t>
    </r>
    <r>
      <rPr>
        <u/>
        <sz val="11"/>
        <color theme="1"/>
        <rFont val="Calibri"/>
        <family val="2"/>
        <scheme val="minor"/>
      </rPr>
      <t>Fats Walter.</t>
    </r>
  </si>
  <si>
    <r>
      <t xml:space="preserve">The movie </t>
    </r>
    <r>
      <rPr>
        <u/>
        <sz val="11"/>
        <color theme="1"/>
        <rFont val="Calibri"/>
        <family val="2"/>
        <scheme val="minor"/>
      </rPr>
      <t>Star Trek</t>
    </r>
    <r>
      <rPr>
        <sz val="10"/>
        <rFont val="Tahoma"/>
        <family val="2"/>
      </rPr>
      <t xml:space="preserve"> featured Luke Skywalker.</t>
    </r>
  </si>
  <si>
    <r>
      <t xml:space="preserve">At the Olympics, Greg Louganis hit his head on a </t>
    </r>
    <r>
      <rPr>
        <u/>
        <sz val="11"/>
        <color theme="1"/>
        <rFont val="Calibri"/>
        <family val="2"/>
        <scheme val="minor"/>
      </rPr>
      <t>balance beam</t>
    </r>
    <r>
      <rPr>
        <sz val="10"/>
        <rFont val="Tahoma"/>
        <family val="2"/>
      </rPr>
      <t>.</t>
    </r>
  </si>
  <si>
    <r>
      <t xml:space="preserve">Simon and Garfunkel sang about the </t>
    </r>
    <r>
      <rPr>
        <u/>
        <sz val="11"/>
        <color theme="1"/>
        <rFont val="Calibri"/>
        <family val="2"/>
        <scheme val="minor"/>
      </rPr>
      <t>Scarborough</t>
    </r>
    <r>
      <rPr>
        <sz val="10"/>
        <rFont val="Tahoma"/>
        <family val="2"/>
      </rPr>
      <t xml:space="preserve"> Fair.</t>
    </r>
  </si>
  <si>
    <r>
      <rPr>
        <u/>
        <sz val="11"/>
        <color theme="1"/>
        <rFont val="Calibri"/>
        <family val="2"/>
        <scheme val="minor"/>
      </rPr>
      <t>Purple</t>
    </r>
    <r>
      <rPr>
        <sz val="10"/>
        <rFont val="Tahoma"/>
        <family val="2"/>
      </rPr>
      <t xml:space="preserve"> is not a primary color.</t>
    </r>
  </si>
  <si>
    <r>
      <t>Burt Lancaster starred in a movie as the "Birdman of A</t>
    </r>
    <r>
      <rPr>
        <u/>
        <sz val="11"/>
        <color theme="1"/>
        <rFont val="Calibri"/>
        <family val="2"/>
        <scheme val="minor"/>
      </rPr>
      <t>lcatraz</t>
    </r>
    <r>
      <rPr>
        <sz val="10"/>
        <rFont val="Tahoma"/>
        <family val="2"/>
      </rPr>
      <t>"</t>
    </r>
  </si>
  <si>
    <t>Est.</t>
  </si>
  <si>
    <t>F/T</t>
  </si>
  <si>
    <t>rynelemardis@dia.mil</t>
  </si>
  <si>
    <t>Army</t>
  </si>
  <si>
    <t>Master's</t>
  </si>
  <si>
    <t>rynelemardis@hotmail.com</t>
  </si>
  <si>
    <t>YES</t>
  </si>
  <si>
    <t>daniellehazel@yahoo.com</t>
  </si>
  <si>
    <t>Mark Herbert</t>
  </si>
  <si>
    <t>B.A. in History</t>
  </si>
  <si>
    <t>Scott Morgan  scott.morgan@dia.mil</t>
  </si>
  <si>
    <t>Ben Iverson, benny79@mac.com</t>
  </si>
  <si>
    <t>Bachelor</t>
  </si>
  <si>
    <t>Clay Hurt, clyde.hurt@dia.mil</t>
  </si>
  <si>
    <t>Dept of the Army</t>
  </si>
  <si>
    <t>MA</t>
  </si>
  <si>
    <t>Ethan Wright  ethan.wright@dia.mil</t>
  </si>
  <si>
    <t>DIA NDIC</t>
  </si>
  <si>
    <t>BA Business Administration Tech Mgmt</t>
  </si>
  <si>
    <t>no</t>
  </si>
  <si>
    <t>Ellen Nixon ellen.nixon@ic.fbi.gov</t>
  </si>
  <si>
    <t>FBI</t>
  </si>
  <si>
    <t>Bachelors</t>
  </si>
  <si>
    <t>diwills@dia.mil</t>
  </si>
  <si>
    <t>Jillian Svoboda  jilliansvoboda@gmail.com</t>
  </si>
  <si>
    <t>NSA</t>
  </si>
  <si>
    <t>MBA</t>
  </si>
  <si>
    <t>john ice john.ice@us.army.mil</t>
  </si>
  <si>
    <t>USA</t>
  </si>
  <si>
    <t>BS Biology</t>
  </si>
  <si>
    <t>Steve Priebe</t>
  </si>
  <si>
    <t>Patrick Reidy</t>
  </si>
  <si>
    <t>Masters</t>
  </si>
  <si>
    <t>ID</t>
  </si>
  <si>
    <t>PS</t>
  </si>
  <si>
    <t>DI</t>
  </si>
  <si>
    <t>CI</t>
  </si>
  <si>
    <t>Bias</t>
  </si>
  <si>
    <t>Scatter</t>
  </si>
  <si>
    <t>Intel</t>
  </si>
  <si>
    <t>B/M</t>
  </si>
  <si>
    <t>Org</t>
  </si>
  <si>
    <t>Consent?</t>
  </si>
  <si>
    <t>Market Price (6 mo prior)</t>
  </si>
  <si>
    <t>Rand(-.3,.3)</t>
  </si>
  <si>
    <t>Rand(-.4,.4)</t>
  </si>
  <si>
    <t>Rand(-.2,.2)</t>
  </si>
  <si>
    <t>Mean (.4,.6)</t>
  </si>
  <si>
    <t>Mean (.3,.7)</t>
  </si>
  <si>
    <t>Mean (.2,.8)</t>
  </si>
  <si>
    <t>Estimate(6mo)</t>
  </si>
  <si>
    <t>Estimate(4mo)</t>
  </si>
  <si>
    <t>Estimate(2mo)</t>
  </si>
  <si>
    <t>Rounded Est.</t>
  </si>
  <si>
    <r>
      <t>d</t>
    </r>
    <r>
      <rPr>
        <i/>
        <vertAlign val="subscript"/>
        <sz val="10"/>
        <rFont val="Tahoma"/>
        <family val="2"/>
      </rPr>
      <t>.2</t>
    </r>
    <r>
      <rPr>
        <sz val="10"/>
        <rFont val="Tahoma"/>
        <family val="2"/>
      </rPr>
      <t>=</t>
    </r>
  </si>
  <si>
    <r>
      <t>d</t>
    </r>
    <r>
      <rPr>
        <i/>
        <vertAlign val="subscript"/>
        <sz val="10"/>
        <rFont val="Tahoma"/>
        <family val="2"/>
      </rPr>
      <t>.4</t>
    </r>
    <r>
      <rPr>
        <sz val="10"/>
        <rFont val="Tahoma"/>
        <family val="2"/>
      </rPr>
      <t>=</t>
    </r>
  </si>
  <si>
    <r>
      <t>d</t>
    </r>
    <r>
      <rPr>
        <i/>
        <vertAlign val="subscript"/>
        <sz val="10"/>
        <rFont val="Tahoma"/>
        <family val="2"/>
      </rPr>
      <t>.6</t>
    </r>
    <r>
      <rPr>
        <sz val="10"/>
        <rFont val="Tahoma"/>
        <family val="2"/>
      </rPr>
      <t>=</t>
    </r>
  </si>
  <si>
    <r>
      <t>d</t>
    </r>
    <r>
      <rPr>
        <i/>
        <vertAlign val="subscript"/>
        <sz val="10"/>
        <rFont val="Tahoma"/>
        <family val="2"/>
      </rPr>
      <t>.8</t>
    </r>
    <r>
      <rPr>
        <sz val="10"/>
        <rFont val="Tahoma"/>
        <family val="2"/>
      </rPr>
      <t>=</t>
    </r>
  </si>
  <si>
    <r>
      <t>N</t>
    </r>
    <r>
      <rPr>
        <i/>
        <vertAlign val="subscript"/>
        <sz val="10"/>
        <rFont val="Tahoma"/>
        <family val="2"/>
      </rPr>
      <t>.8</t>
    </r>
    <r>
      <rPr>
        <i/>
        <sz val="10"/>
        <rFont val="Tahoma"/>
        <family val="2"/>
      </rPr>
      <t>(Mean d-d</t>
    </r>
    <r>
      <rPr>
        <i/>
        <vertAlign val="subscript"/>
        <sz val="10"/>
        <rFont val="Tahoma"/>
        <family val="2"/>
      </rPr>
      <t>.8</t>
    </r>
    <r>
      <rPr>
        <i/>
        <sz val="10"/>
        <rFont val="Tahoma"/>
        <family val="2"/>
      </rPr>
      <t>)</t>
    </r>
    <r>
      <rPr>
        <i/>
        <vertAlign val="superscript"/>
        <sz val="10"/>
        <rFont val="Tahoma"/>
        <family val="2"/>
      </rPr>
      <t>2</t>
    </r>
    <r>
      <rPr>
        <i/>
        <sz val="10"/>
        <rFont val="Tahoma"/>
        <family val="2"/>
      </rPr>
      <t>=</t>
    </r>
  </si>
  <si>
    <r>
      <t>N</t>
    </r>
    <r>
      <rPr>
        <i/>
        <vertAlign val="subscript"/>
        <sz val="10"/>
        <rFont val="Tahoma"/>
        <family val="2"/>
      </rPr>
      <t>.6</t>
    </r>
    <r>
      <rPr>
        <i/>
        <sz val="10"/>
        <rFont val="Tahoma"/>
        <family val="2"/>
      </rPr>
      <t>(Mean d-d</t>
    </r>
    <r>
      <rPr>
        <i/>
        <vertAlign val="subscript"/>
        <sz val="10"/>
        <rFont val="Tahoma"/>
        <family val="2"/>
      </rPr>
      <t>.6</t>
    </r>
    <r>
      <rPr>
        <i/>
        <sz val="10"/>
        <rFont val="Tahoma"/>
        <family val="2"/>
      </rPr>
      <t>)</t>
    </r>
    <r>
      <rPr>
        <i/>
        <vertAlign val="superscript"/>
        <sz val="10"/>
        <rFont val="Tahoma"/>
        <family val="2"/>
      </rPr>
      <t>2</t>
    </r>
    <r>
      <rPr>
        <i/>
        <sz val="10"/>
        <rFont val="Tahoma"/>
        <family val="2"/>
      </rPr>
      <t>=</t>
    </r>
  </si>
  <si>
    <r>
      <t>N</t>
    </r>
    <r>
      <rPr>
        <i/>
        <vertAlign val="subscript"/>
        <sz val="10"/>
        <rFont val="Tahoma"/>
        <family val="2"/>
      </rPr>
      <t>.4</t>
    </r>
    <r>
      <rPr>
        <i/>
        <sz val="10"/>
        <rFont val="Tahoma"/>
        <family val="2"/>
      </rPr>
      <t>(Mean d-d</t>
    </r>
    <r>
      <rPr>
        <i/>
        <vertAlign val="subscript"/>
        <sz val="10"/>
        <rFont val="Tahoma"/>
        <family val="2"/>
      </rPr>
      <t>.4</t>
    </r>
    <r>
      <rPr>
        <i/>
        <sz val="10"/>
        <rFont val="Tahoma"/>
        <family val="2"/>
      </rPr>
      <t>)</t>
    </r>
    <r>
      <rPr>
        <i/>
        <vertAlign val="superscript"/>
        <sz val="10"/>
        <rFont val="Tahoma"/>
        <family val="2"/>
      </rPr>
      <t>2</t>
    </r>
    <r>
      <rPr>
        <i/>
        <sz val="10"/>
        <rFont val="Tahoma"/>
        <family val="2"/>
      </rPr>
      <t>=</t>
    </r>
  </si>
  <si>
    <r>
      <t>N</t>
    </r>
    <r>
      <rPr>
        <i/>
        <vertAlign val="subscript"/>
        <sz val="10"/>
        <rFont val="Tahoma"/>
        <family val="2"/>
      </rPr>
      <t>.2</t>
    </r>
    <r>
      <rPr>
        <i/>
        <sz val="10"/>
        <rFont val="Tahoma"/>
        <family val="2"/>
      </rPr>
      <t>(Mean d-d</t>
    </r>
    <r>
      <rPr>
        <i/>
        <vertAlign val="subscript"/>
        <sz val="10"/>
        <rFont val="Tahoma"/>
        <family val="2"/>
      </rPr>
      <t>.2</t>
    </r>
    <r>
      <rPr>
        <i/>
        <sz val="10"/>
        <rFont val="Tahoma"/>
        <family val="2"/>
      </rPr>
      <t>)</t>
    </r>
    <r>
      <rPr>
        <i/>
        <vertAlign val="superscript"/>
        <sz val="10"/>
        <rFont val="Tahoma"/>
        <family val="2"/>
      </rPr>
      <t>2</t>
    </r>
    <r>
      <rPr>
        <i/>
        <sz val="10"/>
        <rFont val="Tahoma"/>
        <family val="2"/>
      </rPr>
      <t>=</t>
    </r>
  </si>
  <si>
    <r>
      <t>N</t>
    </r>
    <r>
      <rPr>
        <i/>
        <vertAlign val="subscript"/>
        <sz val="10"/>
        <rFont val="Tahoma"/>
        <family val="2"/>
      </rPr>
      <t>.2</t>
    </r>
    <r>
      <rPr>
        <i/>
        <sz val="10"/>
        <rFont val="Tahoma"/>
        <family val="2"/>
      </rPr>
      <t>(.2-d</t>
    </r>
    <r>
      <rPr>
        <i/>
        <vertAlign val="subscript"/>
        <sz val="10"/>
        <rFont val="Tahoma"/>
        <family val="2"/>
      </rPr>
      <t>.2</t>
    </r>
    <r>
      <rPr>
        <i/>
        <sz val="10"/>
        <rFont val="Tahoma"/>
        <family val="2"/>
      </rPr>
      <t>)</t>
    </r>
    <r>
      <rPr>
        <i/>
        <vertAlign val="superscript"/>
        <sz val="10"/>
        <rFont val="Tahoma"/>
        <family val="2"/>
      </rPr>
      <t>2</t>
    </r>
    <r>
      <rPr>
        <i/>
        <sz val="10"/>
        <rFont val="Tahoma"/>
        <family val="2"/>
      </rPr>
      <t>=</t>
    </r>
  </si>
  <si>
    <r>
      <t>N</t>
    </r>
    <r>
      <rPr>
        <i/>
        <vertAlign val="subscript"/>
        <sz val="10"/>
        <rFont val="Tahoma"/>
        <family val="2"/>
      </rPr>
      <t>.4</t>
    </r>
    <r>
      <rPr>
        <i/>
        <sz val="10"/>
        <rFont val="Tahoma"/>
        <family val="2"/>
      </rPr>
      <t>(.4-d</t>
    </r>
    <r>
      <rPr>
        <i/>
        <vertAlign val="subscript"/>
        <sz val="10"/>
        <rFont val="Tahoma"/>
        <family val="2"/>
      </rPr>
      <t>.4</t>
    </r>
    <r>
      <rPr>
        <i/>
        <sz val="10"/>
        <rFont val="Tahoma"/>
        <family val="2"/>
      </rPr>
      <t>)</t>
    </r>
    <r>
      <rPr>
        <i/>
        <vertAlign val="superscript"/>
        <sz val="10"/>
        <rFont val="Tahoma"/>
        <family val="2"/>
      </rPr>
      <t>2</t>
    </r>
    <r>
      <rPr>
        <i/>
        <sz val="10"/>
        <rFont val="Tahoma"/>
        <family val="2"/>
      </rPr>
      <t>=</t>
    </r>
  </si>
  <si>
    <r>
      <t>N</t>
    </r>
    <r>
      <rPr>
        <i/>
        <vertAlign val="subscript"/>
        <sz val="10"/>
        <rFont val="Tahoma"/>
        <family val="2"/>
      </rPr>
      <t>.6</t>
    </r>
    <r>
      <rPr>
        <i/>
        <sz val="10"/>
        <rFont val="Tahoma"/>
        <family val="2"/>
      </rPr>
      <t>(.6-d</t>
    </r>
    <r>
      <rPr>
        <i/>
        <vertAlign val="subscript"/>
        <sz val="10"/>
        <rFont val="Tahoma"/>
        <family val="2"/>
      </rPr>
      <t>.6</t>
    </r>
    <r>
      <rPr>
        <i/>
        <sz val="10"/>
        <rFont val="Tahoma"/>
        <family val="2"/>
      </rPr>
      <t>)</t>
    </r>
    <r>
      <rPr>
        <i/>
        <vertAlign val="superscript"/>
        <sz val="10"/>
        <rFont val="Tahoma"/>
        <family val="2"/>
      </rPr>
      <t>2</t>
    </r>
    <r>
      <rPr>
        <i/>
        <sz val="10"/>
        <rFont val="Tahoma"/>
        <family val="2"/>
      </rPr>
      <t>=</t>
    </r>
  </si>
  <si>
    <r>
      <t>N</t>
    </r>
    <r>
      <rPr>
        <i/>
        <vertAlign val="subscript"/>
        <sz val="10"/>
        <rFont val="Tahoma"/>
        <family val="2"/>
      </rPr>
      <t>.8</t>
    </r>
    <r>
      <rPr>
        <i/>
        <sz val="10"/>
        <rFont val="Tahoma"/>
        <family val="2"/>
      </rPr>
      <t>(.8-d</t>
    </r>
    <r>
      <rPr>
        <i/>
        <vertAlign val="subscript"/>
        <sz val="10"/>
        <rFont val="Tahoma"/>
        <family val="2"/>
      </rPr>
      <t>.8</t>
    </r>
    <r>
      <rPr>
        <i/>
        <sz val="10"/>
        <rFont val="Tahoma"/>
        <family val="2"/>
      </rPr>
      <t>)</t>
    </r>
    <r>
      <rPr>
        <i/>
        <vertAlign val="superscript"/>
        <sz val="10"/>
        <rFont val="Tahoma"/>
        <family val="2"/>
      </rPr>
      <t>2</t>
    </r>
    <r>
      <rPr>
        <i/>
        <sz val="10"/>
        <rFont val="Tahoma"/>
        <family val="2"/>
      </rPr>
      <t>=</t>
    </r>
  </si>
</sst>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164" formatCode="mm/dd/yyyy"/>
    <numFmt numFmtId="165" formatCode="0.0"/>
    <numFmt numFmtId="166" formatCode="0.000"/>
    <numFmt numFmtId="167" formatCode="0.0000"/>
    <numFmt numFmtId="168" formatCode="0.00000"/>
  </numFmts>
  <fonts count="21" x14ac:knownFonts="1">
    <font>
      <sz val="10"/>
      <name val="Tahoma"/>
    </font>
    <font>
      <i/>
      <sz val="10"/>
      <name val="Tahoma"/>
      <family val="2"/>
    </font>
    <font>
      <sz val="10"/>
      <name val="Tahoma"/>
      <family val="2"/>
    </font>
    <font>
      <b/>
      <sz val="10"/>
      <name val="Tahoma"/>
      <family val="2"/>
    </font>
    <font>
      <b/>
      <i/>
      <sz val="10"/>
      <name val="Tahoma"/>
      <family val="2"/>
    </font>
    <font>
      <sz val="10"/>
      <name val="Times New Roman"/>
      <family val="1"/>
    </font>
    <font>
      <sz val="8"/>
      <color indexed="81"/>
      <name val="Tahoma"/>
      <family val="2"/>
    </font>
    <font>
      <b/>
      <sz val="8"/>
      <color indexed="81"/>
      <name val="Tahoma"/>
      <family val="2"/>
    </font>
    <font>
      <i/>
      <vertAlign val="subscript"/>
      <sz val="10"/>
      <name val="Tahoma"/>
      <family val="2"/>
    </font>
    <font>
      <vertAlign val="subscript"/>
      <sz val="10"/>
      <name val="Tahoma"/>
      <family val="2"/>
    </font>
    <font>
      <u/>
      <sz val="10"/>
      <name val="Tahoma"/>
      <family val="2"/>
    </font>
    <font>
      <u/>
      <vertAlign val="subscript"/>
      <sz val="10"/>
      <name val="Tahoma"/>
      <family val="2"/>
    </font>
    <font>
      <i/>
      <vertAlign val="superscript"/>
      <sz val="10"/>
      <name val="Tahoma"/>
      <family val="2"/>
    </font>
    <font>
      <b/>
      <vertAlign val="superscript"/>
      <sz val="10"/>
      <name val="Tahoma"/>
      <family val="2"/>
    </font>
    <font>
      <b/>
      <u/>
      <sz val="10"/>
      <name val="Tahoma"/>
      <family val="2"/>
    </font>
    <font>
      <sz val="10"/>
      <color rgb="FFFF0000"/>
      <name val="Tahoma"/>
      <family val="2"/>
    </font>
    <font>
      <b/>
      <i/>
      <u/>
      <sz val="10"/>
      <name val="Tahoma"/>
      <family val="2"/>
    </font>
    <font>
      <b/>
      <u/>
      <vertAlign val="subscript"/>
      <sz val="10"/>
      <name val="Tahoma"/>
      <family val="2"/>
    </font>
    <font>
      <i/>
      <sz val="10"/>
      <name val="Times New Roman"/>
      <family val="1"/>
    </font>
    <font>
      <vertAlign val="subscript"/>
      <sz val="10"/>
      <name val="Times New Roman"/>
      <family val="1"/>
    </font>
    <font>
      <u/>
      <sz val="11"/>
      <color theme="1"/>
      <name val="Calibri"/>
      <family val="2"/>
      <scheme val="minor"/>
    </font>
  </fonts>
  <fills count="6">
    <fill>
      <patternFill patternType="none"/>
    </fill>
    <fill>
      <patternFill patternType="gray125"/>
    </fill>
    <fill>
      <patternFill patternType="solid">
        <fgColor theme="9" tint="0.59999389629810485"/>
        <bgColor indexed="64"/>
      </patternFill>
    </fill>
    <fill>
      <patternFill patternType="solid">
        <fgColor rgb="FFFFFF66"/>
        <bgColor indexed="64"/>
      </patternFill>
    </fill>
    <fill>
      <patternFill patternType="solid">
        <fgColor theme="9" tint="0.79998168889431442"/>
        <bgColor indexed="64"/>
      </patternFill>
    </fill>
    <fill>
      <patternFill patternType="solid">
        <fgColor rgb="FFFFFF00"/>
        <bgColor indexed="64"/>
      </patternFill>
    </fill>
  </fills>
  <borders count="6">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2" fillId="0" borderId="0"/>
  </cellStyleXfs>
  <cellXfs count="95">
    <xf numFmtId="0" fontId="0" fillId="0" borderId="0" xfId="0"/>
    <xf numFmtId="9" fontId="0" fillId="0" borderId="0" xfId="0" applyNumberFormat="1"/>
    <xf numFmtId="0" fontId="2" fillId="0" borderId="0" xfId="0" applyFont="1"/>
    <xf numFmtId="0" fontId="0" fillId="0" borderId="1" xfId="0" applyBorder="1"/>
    <xf numFmtId="0" fontId="3" fillId="0" borderId="0" xfId="0" applyFont="1"/>
    <xf numFmtId="0" fontId="1" fillId="0" borderId="0" xfId="0" applyFont="1" applyAlignment="1">
      <alignment horizontal="right"/>
    </xf>
    <xf numFmtId="2" fontId="0" fillId="0" borderId="0" xfId="0" applyNumberFormat="1" applyAlignment="1">
      <alignment horizontal="left"/>
    </xf>
    <xf numFmtId="0" fontId="0" fillId="0" borderId="0" xfId="0" applyAlignment="1">
      <alignment horizontal="left"/>
    </xf>
    <xf numFmtId="0" fontId="0" fillId="0" borderId="0" xfId="0" applyBorder="1"/>
    <xf numFmtId="9" fontId="0" fillId="0" borderId="0" xfId="0" applyNumberFormat="1" applyBorder="1"/>
    <xf numFmtId="0" fontId="3" fillId="0" borderId="0" xfId="0" applyFont="1" applyBorder="1"/>
    <xf numFmtId="0" fontId="2" fillId="0" borderId="0" xfId="0" applyFont="1" applyBorder="1"/>
    <xf numFmtId="0" fontId="1" fillId="0" borderId="0" xfId="0" applyFont="1" applyBorder="1" applyAlignment="1">
      <alignment horizontal="right"/>
    </xf>
    <xf numFmtId="2" fontId="0" fillId="0" borderId="0" xfId="0" applyNumberFormat="1" applyBorder="1" applyAlignment="1">
      <alignment horizontal="left"/>
    </xf>
    <xf numFmtId="0" fontId="0" fillId="0" borderId="0" xfId="0" applyBorder="1" applyAlignment="1">
      <alignment horizontal="left"/>
    </xf>
    <xf numFmtId="0" fontId="2" fillId="0" borderId="0" xfId="0" applyFont="1" applyAlignment="1"/>
    <xf numFmtId="165" fontId="0" fillId="0" borderId="0" xfId="0" applyNumberFormat="1"/>
    <xf numFmtId="0" fontId="0" fillId="0" borderId="0" xfId="0" applyAlignment="1">
      <alignment horizontal="center"/>
    </xf>
    <xf numFmtId="165" fontId="0" fillId="0" borderId="0" xfId="0" applyNumberFormat="1" applyAlignment="1">
      <alignment horizontal="center"/>
    </xf>
    <xf numFmtId="2" fontId="0" fillId="0" borderId="0" xfId="0" applyNumberFormat="1" applyAlignment="1">
      <alignment horizontal="center"/>
    </xf>
    <xf numFmtId="0" fontId="2" fillId="0" borderId="0" xfId="0" applyFont="1" applyAlignment="1">
      <alignment horizontal="right"/>
    </xf>
    <xf numFmtId="2" fontId="2" fillId="0" borderId="0" xfId="0" applyNumberFormat="1" applyFont="1" applyAlignment="1">
      <alignment horizontal="center"/>
    </xf>
    <xf numFmtId="0" fontId="3" fillId="0" borderId="0" xfId="0" applyFont="1" applyAlignment="1">
      <alignment wrapText="1"/>
    </xf>
    <xf numFmtId="0" fontId="3" fillId="0" borderId="0" xfId="0" applyFont="1" applyAlignment="1">
      <alignment horizontal="center"/>
    </xf>
    <xf numFmtId="0" fontId="3" fillId="0" borderId="0" xfId="0" applyFont="1" applyAlignment="1"/>
    <xf numFmtId="0" fontId="3" fillId="0" borderId="0" xfId="0" applyFont="1" applyAlignment="1">
      <alignment vertical="center" wrapText="1"/>
    </xf>
    <xf numFmtId="0" fontId="0" fillId="3" borderId="0" xfId="0" applyFill="1"/>
    <xf numFmtId="0" fontId="3" fillId="2" borderId="0" xfId="0" applyFont="1" applyFill="1" applyAlignment="1">
      <alignment horizontal="right"/>
    </xf>
    <xf numFmtId="0" fontId="3" fillId="2" borderId="0" xfId="0" applyFont="1" applyFill="1"/>
    <xf numFmtId="0" fontId="4" fillId="2" borderId="0" xfId="0" applyFont="1" applyFill="1" applyAlignment="1">
      <alignment horizontal="right"/>
    </xf>
    <xf numFmtId="168" fontId="3" fillId="2" borderId="0" xfId="0" applyNumberFormat="1" applyFont="1" applyFill="1" applyAlignment="1">
      <alignment horizontal="left"/>
    </xf>
    <xf numFmtId="0" fontId="4" fillId="0" borderId="0" xfId="0" applyFont="1" applyFill="1" applyAlignment="1">
      <alignment horizontal="right"/>
    </xf>
    <xf numFmtId="168" fontId="3" fillId="0" borderId="0" xfId="0" applyNumberFormat="1" applyFont="1" applyFill="1" applyAlignment="1">
      <alignment horizontal="left"/>
    </xf>
    <xf numFmtId="167" fontId="0" fillId="0" borderId="0" xfId="0" applyNumberFormat="1"/>
    <xf numFmtId="0" fontId="1" fillId="0" borderId="0" xfId="0" applyFont="1"/>
    <xf numFmtId="166" fontId="0" fillId="0" borderId="0" xfId="0" applyNumberFormat="1" applyBorder="1" applyAlignment="1">
      <alignment horizontal="left"/>
    </xf>
    <xf numFmtId="0" fontId="3" fillId="0" borderId="0" xfId="0" applyFont="1" applyAlignment="1">
      <alignment horizontal="center" vertical="center" wrapText="1"/>
    </xf>
    <xf numFmtId="0" fontId="0" fillId="0" borderId="0" xfId="0" applyFill="1"/>
    <xf numFmtId="0" fontId="1" fillId="0" borderId="2" xfId="0" applyFont="1" applyBorder="1" applyAlignment="1">
      <alignment horizontal="right"/>
    </xf>
    <xf numFmtId="166" fontId="3" fillId="0" borderId="3" xfId="0" applyNumberFormat="1" applyFont="1" applyBorder="1" applyAlignment="1">
      <alignment horizontal="left"/>
    </xf>
    <xf numFmtId="0" fontId="1" fillId="0" borderId="2" xfId="0" applyFont="1" applyBorder="1" applyAlignment="1">
      <alignment horizontal="right" wrapText="1"/>
    </xf>
    <xf numFmtId="0" fontId="1" fillId="0" borderId="0" xfId="0" applyFont="1" applyFill="1" applyAlignment="1">
      <alignment horizontal="right"/>
    </xf>
    <xf numFmtId="165" fontId="0" fillId="0" borderId="0" xfId="0" applyNumberFormat="1" applyBorder="1"/>
    <xf numFmtId="0" fontId="10" fillId="0" borderId="0" xfId="0" applyFont="1" applyAlignment="1"/>
    <xf numFmtId="165" fontId="2" fillId="0" borderId="0" xfId="0" applyNumberFormat="1" applyFont="1" applyBorder="1" applyAlignment="1">
      <alignment horizontal="right"/>
    </xf>
    <xf numFmtId="166" fontId="0" fillId="0" borderId="0" xfId="0" applyNumberFormat="1" applyBorder="1"/>
    <xf numFmtId="0" fontId="2" fillId="0" borderId="0" xfId="0" applyFont="1" applyBorder="1" applyAlignment="1">
      <alignment horizontal="right"/>
    </xf>
    <xf numFmtId="166" fontId="0" fillId="0" borderId="0" xfId="0" applyNumberFormat="1" applyFill="1" applyBorder="1"/>
    <xf numFmtId="0" fontId="2" fillId="2" borderId="0" xfId="0" applyFont="1" applyFill="1" applyBorder="1" applyAlignment="1">
      <alignment horizontal="right"/>
    </xf>
    <xf numFmtId="166" fontId="0" fillId="2" borderId="0" xfId="0" applyNumberFormat="1" applyFill="1" applyBorder="1"/>
    <xf numFmtId="0" fontId="4" fillId="4" borderId="0" xfId="0" applyFont="1" applyFill="1" applyBorder="1" applyAlignment="1">
      <alignment horizontal="right"/>
    </xf>
    <xf numFmtId="166" fontId="4" fillId="4" borderId="0" xfId="0" applyNumberFormat="1" applyFont="1" applyFill="1" applyBorder="1"/>
    <xf numFmtId="0" fontId="4" fillId="4" borderId="0" xfId="0" applyFont="1" applyFill="1"/>
    <xf numFmtId="0" fontId="4" fillId="4" borderId="0" xfId="0" applyFont="1" applyFill="1" applyAlignment="1">
      <alignment horizontal="right"/>
    </xf>
    <xf numFmtId="167" fontId="4" fillId="4" borderId="0" xfId="0" applyNumberFormat="1" applyFont="1" applyFill="1"/>
    <xf numFmtId="0" fontId="3" fillId="0" borderId="0" xfId="0" applyFont="1" applyBorder="1" applyAlignment="1">
      <alignment wrapText="1"/>
    </xf>
    <xf numFmtId="166" fontId="2" fillId="0" borderId="0" xfId="0" applyNumberFormat="1" applyFont="1" applyBorder="1" applyAlignment="1">
      <alignment horizontal="right"/>
    </xf>
    <xf numFmtId="166" fontId="2" fillId="0" borderId="0" xfId="0" applyNumberFormat="1" applyFont="1" applyFill="1" applyBorder="1"/>
    <xf numFmtId="166" fontId="2" fillId="0" borderId="0" xfId="0" applyNumberFormat="1" applyFont="1" applyFill="1" applyBorder="1" applyAlignment="1">
      <alignment horizontal="right"/>
    </xf>
    <xf numFmtId="0" fontId="14" fillId="0" borderId="0" xfId="0" applyFont="1"/>
    <xf numFmtId="0" fontId="14" fillId="0" borderId="0" xfId="0" applyFont="1" applyBorder="1"/>
    <xf numFmtId="0" fontId="3" fillId="0" borderId="0" xfId="0" applyFont="1" applyAlignment="1">
      <alignment horizontal="center" wrapText="1"/>
    </xf>
    <xf numFmtId="0" fontId="3" fillId="3" borderId="0" xfId="0" applyFont="1" applyFill="1" applyAlignment="1">
      <alignment horizontal="center" wrapText="1"/>
    </xf>
    <xf numFmtId="0" fontId="3" fillId="0" borderId="0" xfId="0" applyFont="1" applyAlignment="1">
      <alignment horizontal="left" wrapText="1"/>
    </xf>
    <xf numFmtId="0" fontId="0" fillId="0" borderId="0" xfId="0" applyFill="1" applyAlignment="1">
      <alignment horizontal="center"/>
    </xf>
    <xf numFmtId="0" fontId="2" fillId="0" borderId="4" xfId="0" applyFont="1" applyBorder="1" applyAlignment="1">
      <alignment horizontal="right"/>
    </xf>
    <xf numFmtId="166" fontId="15" fillId="0" borderId="5" xfId="0" applyNumberFormat="1" applyFont="1" applyBorder="1" applyAlignment="1">
      <alignment horizontal="left"/>
    </xf>
    <xf numFmtId="0" fontId="15" fillId="0" borderId="5" xfId="0" applyFont="1" applyBorder="1" applyAlignment="1">
      <alignment horizontal="left"/>
    </xf>
    <xf numFmtId="0" fontId="5" fillId="0" borderId="0" xfId="0" applyFont="1" applyAlignment="1">
      <alignment horizontal="left" vertical="top" wrapText="1"/>
    </xf>
    <xf numFmtId="0" fontId="3" fillId="0" borderId="0" xfId="0" applyFont="1" applyAlignment="1">
      <alignment horizontal="center"/>
    </xf>
    <xf numFmtId="0" fontId="2" fillId="0" borderId="0" xfId="0" applyFont="1" applyAlignment="1">
      <alignment horizontal="center"/>
    </xf>
    <xf numFmtId="2" fontId="0" fillId="0" borderId="0" xfId="0" applyNumberFormat="1"/>
    <xf numFmtId="0" fontId="16" fillId="0" borderId="0" xfId="0" applyFont="1"/>
    <xf numFmtId="0" fontId="5" fillId="0" borderId="0" xfId="0" applyFont="1" applyAlignment="1">
      <alignment horizontal="center" vertical="top" wrapText="1"/>
    </xf>
    <xf numFmtId="0" fontId="5" fillId="0" borderId="0" xfId="0" applyFont="1" applyAlignment="1">
      <alignment vertical="top" wrapText="1"/>
    </xf>
    <xf numFmtId="0" fontId="5" fillId="0" borderId="0" xfId="0" applyFont="1" applyAlignment="1">
      <alignment horizontal="left" wrapText="1"/>
    </xf>
    <xf numFmtId="0" fontId="5" fillId="0" borderId="0" xfId="0" applyFont="1" applyAlignment="1">
      <alignment horizontal="center" vertical="center" wrapText="1"/>
    </xf>
    <xf numFmtId="0" fontId="2" fillId="0" borderId="0" xfId="0" applyFont="1" applyAlignment="1">
      <alignment horizontal="center" vertical="center"/>
    </xf>
    <xf numFmtId="0" fontId="0" fillId="0" borderId="0" xfId="0" applyAlignment="1">
      <alignment horizontal="center" vertical="center"/>
    </xf>
    <xf numFmtId="2" fontId="0" fillId="0" borderId="0" xfId="0" applyNumberFormat="1" applyAlignment="1">
      <alignment horizontal="center" vertical="center"/>
    </xf>
    <xf numFmtId="166" fontId="0" fillId="0" borderId="0" xfId="0" applyNumberFormat="1" applyAlignment="1">
      <alignment horizontal="center" vertical="center"/>
    </xf>
    <xf numFmtId="0" fontId="20" fillId="0" borderId="0" xfId="0" applyFont="1"/>
    <xf numFmtId="0" fontId="2" fillId="0" borderId="0" xfId="1"/>
    <xf numFmtId="164" fontId="2" fillId="0" borderId="0" xfId="1" applyNumberFormat="1"/>
    <xf numFmtId="0" fontId="2" fillId="5" borderId="0" xfId="1" applyFill="1"/>
    <xf numFmtId="22" fontId="0" fillId="0" borderId="0" xfId="0" applyNumberFormat="1"/>
    <xf numFmtId="166" fontId="0" fillId="0" borderId="0" xfId="0" applyNumberFormat="1"/>
    <xf numFmtId="166" fontId="2" fillId="0" borderId="0" xfId="1" applyNumberFormat="1"/>
    <xf numFmtId="166" fontId="0" fillId="0" borderId="0" xfId="0" applyNumberFormat="1" applyAlignment="1">
      <alignment horizontal="left"/>
    </xf>
    <xf numFmtId="0" fontId="3" fillId="3" borderId="0" xfId="0" applyFont="1" applyFill="1" applyAlignment="1">
      <alignment horizontal="center"/>
    </xf>
    <xf numFmtId="0" fontId="3" fillId="0" borderId="0" xfId="0" applyFont="1" applyAlignment="1">
      <alignment horizontal="center"/>
    </xf>
    <xf numFmtId="0" fontId="5" fillId="0" borderId="0" xfId="0" applyFont="1" applyAlignment="1">
      <alignment horizontal="left" vertical="top" wrapText="1"/>
    </xf>
    <xf numFmtId="0" fontId="10" fillId="0" borderId="0" xfId="0" applyFont="1" applyAlignment="1">
      <alignment horizontal="center"/>
    </xf>
    <xf numFmtId="0" fontId="2" fillId="0" borderId="0" xfId="0" applyFont="1" applyAlignment="1">
      <alignment horizontal="left" wrapText="1"/>
    </xf>
    <xf numFmtId="0" fontId="5" fillId="0" borderId="0" xfId="0" applyFont="1" applyAlignment="1">
      <alignment horizontal="left" wrapText="1"/>
    </xf>
  </cellXfs>
  <cellStyles count="2">
    <cellStyle name="Normal" xfId="0" builtinId="0"/>
    <cellStyle name="Normal 2" xfId="1"/>
  </cellStyles>
  <dxfs count="7">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s>
  <tableStyles count="0" defaultTableStyle="TableStyleMedium9" defaultPivotStyle="PivotStyleLight16"/>
  <colors>
    <mruColors>
      <color rgb="FFFFFF66"/>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a:pPr>
            <a:r>
              <a:rPr lang="en-US" sz="1400"/>
              <a:t>Confidence Callibration</a:t>
            </a:r>
          </a:p>
        </c:rich>
      </c:tx>
      <c:overlay val="0"/>
    </c:title>
    <c:autoTitleDeleted val="0"/>
    <c:plotArea>
      <c:layout/>
      <c:scatterChart>
        <c:scatterStyle val="lineMarker"/>
        <c:varyColors val="0"/>
        <c:ser>
          <c:idx val="0"/>
          <c:order val="0"/>
          <c:tx>
            <c:v>Your Confidence</c:v>
          </c:tx>
          <c:spPr>
            <a:ln>
              <a:noFill/>
            </a:ln>
          </c:spPr>
          <c:marker>
            <c:spPr>
              <a:solidFill>
                <a:srgbClr val="FF0000"/>
              </a:solidFill>
              <a:ln>
                <a:noFill/>
              </a:ln>
            </c:spPr>
          </c:marker>
          <c:xVal>
            <c:numRef>
              <c:f>'Murphy Decomp'!$H$4:$H$10</c:f>
              <c:numCache>
                <c:formatCode>0.0</c:formatCode>
                <c:ptCount val="7"/>
                <c:pt idx="0">
                  <c:v>0</c:v>
                </c:pt>
                <c:pt idx="1">
                  <c:v>0.1</c:v>
                </c:pt>
                <c:pt idx="2">
                  <c:v>0.3</c:v>
                </c:pt>
                <c:pt idx="3">
                  <c:v>0.5</c:v>
                </c:pt>
                <c:pt idx="4">
                  <c:v>0.7</c:v>
                </c:pt>
                <c:pt idx="5">
                  <c:v>0.9</c:v>
                </c:pt>
                <c:pt idx="6">
                  <c:v>1</c:v>
                </c:pt>
              </c:numCache>
            </c:numRef>
          </c:xVal>
          <c:yVal>
            <c:numRef>
              <c:f>'Murphy Decomp'!$I$4:$I$10</c:f>
              <c:numCache>
                <c:formatCode>0.00</c:formatCode>
                <c:ptCount val="7"/>
                <c:pt idx="0">
                  <c:v>0</c:v>
                </c:pt>
                <c:pt idx="1">
                  <c:v>0</c:v>
                </c:pt>
                <c:pt idx="2">
                  <c:v>0.58333333333333337</c:v>
                </c:pt>
                <c:pt idx="3">
                  <c:v>0.2</c:v>
                </c:pt>
                <c:pt idx="4">
                  <c:v>0.5</c:v>
                </c:pt>
                <c:pt idx="5">
                  <c:v>1</c:v>
                </c:pt>
                <c:pt idx="6">
                  <c:v>1</c:v>
                </c:pt>
              </c:numCache>
            </c:numRef>
          </c:yVal>
          <c:smooth val="0"/>
        </c:ser>
        <c:ser>
          <c:idx val="1"/>
          <c:order val="1"/>
          <c:tx>
            <c:v>45 Degree Line</c:v>
          </c:tx>
          <c:spPr>
            <a:ln w="12700">
              <a:solidFill>
                <a:schemeClr val="tx1"/>
              </a:solidFill>
              <a:prstDash val="dash"/>
            </a:ln>
          </c:spPr>
          <c:marker>
            <c:symbol val="none"/>
          </c:marker>
          <c:xVal>
            <c:numRef>
              <c:f>'Murphy Decomp'!$J$4:$J$10</c:f>
              <c:numCache>
                <c:formatCode>0.00</c:formatCode>
                <c:ptCount val="7"/>
                <c:pt idx="0">
                  <c:v>0</c:v>
                </c:pt>
                <c:pt idx="1">
                  <c:v>0</c:v>
                </c:pt>
                <c:pt idx="2">
                  <c:v>0.58333333333333337</c:v>
                </c:pt>
                <c:pt idx="3">
                  <c:v>0.2</c:v>
                </c:pt>
                <c:pt idx="4">
                  <c:v>0.5</c:v>
                </c:pt>
                <c:pt idx="5">
                  <c:v>1</c:v>
                </c:pt>
                <c:pt idx="6">
                  <c:v>1</c:v>
                </c:pt>
              </c:numCache>
            </c:numRef>
          </c:xVal>
          <c:yVal>
            <c:numRef>
              <c:f>'Murphy Decomp'!$I$4:$I$10</c:f>
              <c:numCache>
                <c:formatCode>0.00</c:formatCode>
                <c:ptCount val="7"/>
                <c:pt idx="0">
                  <c:v>0</c:v>
                </c:pt>
                <c:pt idx="1">
                  <c:v>0</c:v>
                </c:pt>
                <c:pt idx="2">
                  <c:v>0.58333333333333337</c:v>
                </c:pt>
                <c:pt idx="3">
                  <c:v>0.2</c:v>
                </c:pt>
                <c:pt idx="4">
                  <c:v>0.5</c:v>
                </c:pt>
                <c:pt idx="5">
                  <c:v>1</c:v>
                </c:pt>
                <c:pt idx="6">
                  <c:v>1</c:v>
                </c:pt>
              </c:numCache>
            </c:numRef>
          </c:yVal>
          <c:smooth val="0"/>
        </c:ser>
        <c:ser>
          <c:idx val="2"/>
          <c:order val="2"/>
          <c:tx>
            <c:v>TrendLine</c:v>
          </c:tx>
          <c:spPr>
            <a:ln w="28575">
              <a:noFill/>
            </a:ln>
          </c:spPr>
          <c:marker>
            <c:symbol val="none"/>
          </c:marker>
          <c:trendline>
            <c:spPr>
              <a:ln>
                <a:solidFill>
                  <a:srgbClr val="FF0000"/>
                </a:solidFill>
              </a:ln>
            </c:spPr>
            <c:trendlineType val="linear"/>
            <c:dispRSqr val="0"/>
            <c:dispEq val="0"/>
          </c:trendline>
          <c:xVal>
            <c:numRef>
              <c:f>DataInColumns!$C$2:$C$101</c:f>
              <c:numCache>
                <c:formatCode>0.000</c:formatCode>
                <c:ptCount val="100"/>
                <c:pt idx="0">
                  <c:v>0.53</c:v>
                </c:pt>
                <c:pt idx="1">
                  <c:v>0.17</c:v>
                </c:pt>
                <c:pt idx="2">
                  <c:v>0.53</c:v>
                </c:pt>
                <c:pt idx="3">
                  <c:v>0.13</c:v>
                </c:pt>
                <c:pt idx="4">
                  <c:v>0.30000000000000004</c:v>
                </c:pt>
                <c:pt idx="5">
                  <c:v>0.43000000000000005</c:v>
                </c:pt>
                <c:pt idx="6">
                  <c:v>0.55000000000000004</c:v>
                </c:pt>
                <c:pt idx="7">
                  <c:v>0.38</c:v>
                </c:pt>
                <c:pt idx="8">
                  <c:v>8.0000000000000016E-2</c:v>
                </c:pt>
                <c:pt idx="9">
                  <c:v>0.38</c:v>
                </c:pt>
                <c:pt idx="10">
                  <c:v>1.0000000000000009E-2</c:v>
                </c:pt>
                <c:pt idx="11">
                  <c:v>0.28000000000000003</c:v>
                </c:pt>
                <c:pt idx="12">
                  <c:v>0.36000000000000004</c:v>
                </c:pt>
                <c:pt idx="13">
                  <c:v>0.49</c:v>
                </c:pt>
                <c:pt idx="14">
                  <c:v>9.0000000000000024E-2</c:v>
                </c:pt>
                <c:pt idx="15">
                  <c:v>0.79</c:v>
                </c:pt>
                <c:pt idx="16">
                  <c:v>0.52</c:v>
                </c:pt>
                <c:pt idx="17">
                  <c:v>0.77</c:v>
                </c:pt>
                <c:pt idx="18">
                  <c:v>8.0000000000000016E-2</c:v>
                </c:pt>
                <c:pt idx="19">
                  <c:v>0.32</c:v>
                </c:pt>
                <c:pt idx="20">
                  <c:v>0.28000000000000003</c:v>
                </c:pt>
                <c:pt idx="21">
                  <c:v>0.47000000000000003</c:v>
                </c:pt>
                <c:pt idx="22">
                  <c:v>0.37</c:v>
                </c:pt>
                <c:pt idx="23">
                  <c:v>0.69</c:v>
                </c:pt>
                <c:pt idx="24">
                  <c:v>0.69</c:v>
                </c:pt>
                <c:pt idx="25">
                  <c:v>0.32</c:v>
                </c:pt>
                <c:pt idx="26">
                  <c:v>0.12</c:v>
                </c:pt>
                <c:pt idx="27">
                  <c:v>5.0000000000000044E-2</c:v>
                </c:pt>
                <c:pt idx="28">
                  <c:v>0.19000000000000003</c:v>
                </c:pt>
                <c:pt idx="29">
                  <c:v>0.61</c:v>
                </c:pt>
                <c:pt idx="30">
                  <c:v>0.69</c:v>
                </c:pt>
                <c:pt idx="31">
                  <c:v>0.77</c:v>
                </c:pt>
                <c:pt idx="32">
                  <c:v>0</c:v>
                </c:pt>
                <c:pt idx="33">
                  <c:v>0.48000000000000004</c:v>
                </c:pt>
                <c:pt idx="34">
                  <c:v>0.51</c:v>
                </c:pt>
                <c:pt idx="35">
                  <c:v>1.0000000000000009E-2</c:v>
                </c:pt>
                <c:pt idx="36">
                  <c:v>0.58000000000000007</c:v>
                </c:pt>
                <c:pt idx="37">
                  <c:v>0.76</c:v>
                </c:pt>
                <c:pt idx="38">
                  <c:v>9.0000000000000024E-2</c:v>
                </c:pt>
                <c:pt idx="39">
                  <c:v>0.38</c:v>
                </c:pt>
                <c:pt idx="40">
                  <c:v>0.15000000000000002</c:v>
                </c:pt>
                <c:pt idx="41">
                  <c:v>0.64</c:v>
                </c:pt>
                <c:pt idx="42">
                  <c:v>0.23</c:v>
                </c:pt>
                <c:pt idx="43">
                  <c:v>0.69</c:v>
                </c:pt>
                <c:pt idx="44">
                  <c:v>0.24000000000000002</c:v>
                </c:pt>
                <c:pt idx="45">
                  <c:v>0.47000000000000003</c:v>
                </c:pt>
                <c:pt idx="46">
                  <c:v>0.22000000000000003</c:v>
                </c:pt>
                <c:pt idx="47">
                  <c:v>0.57000000000000006</c:v>
                </c:pt>
                <c:pt idx="48">
                  <c:v>0.10000000000000003</c:v>
                </c:pt>
                <c:pt idx="49">
                  <c:v>0.83</c:v>
                </c:pt>
                <c:pt idx="50">
                  <c:v>0.89999999999999991</c:v>
                </c:pt>
                <c:pt idx="51">
                  <c:v>0.28999999999999998</c:v>
                </c:pt>
                <c:pt idx="52">
                  <c:v>0.79</c:v>
                </c:pt>
                <c:pt idx="53">
                  <c:v>0.94</c:v>
                </c:pt>
                <c:pt idx="54">
                  <c:v>0.20999999999999996</c:v>
                </c:pt>
                <c:pt idx="55">
                  <c:v>0.25999999999999995</c:v>
                </c:pt>
                <c:pt idx="56">
                  <c:v>0.61</c:v>
                </c:pt>
                <c:pt idx="57">
                  <c:v>0.31999999999999995</c:v>
                </c:pt>
                <c:pt idx="58">
                  <c:v>0.66999999999999993</c:v>
                </c:pt>
                <c:pt idx="59">
                  <c:v>0.42999999999999994</c:v>
                </c:pt>
                <c:pt idx="60">
                  <c:v>0.75</c:v>
                </c:pt>
                <c:pt idx="61">
                  <c:v>0.8</c:v>
                </c:pt>
                <c:pt idx="62">
                  <c:v>0.28999999999999998</c:v>
                </c:pt>
                <c:pt idx="63">
                  <c:v>0.80999999999999994</c:v>
                </c:pt>
                <c:pt idx="64">
                  <c:v>0.66999999999999993</c:v>
                </c:pt>
                <c:pt idx="65">
                  <c:v>0.84</c:v>
                </c:pt>
                <c:pt idx="66">
                  <c:v>0.96</c:v>
                </c:pt>
                <c:pt idx="67">
                  <c:v>0.82</c:v>
                </c:pt>
                <c:pt idx="68">
                  <c:v>0.95</c:v>
                </c:pt>
                <c:pt idx="69">
                  <c:v>0.36</c:v>
                </c:pt>
                <c:pt idx="70">
                  <c:v>0.64</c:v>
                </c:pt>
                <c:pt idx="71">
                  <c:v>0.65999999999999992</c:v>
                </c:pt>
                <c:pt idx="72">
                  <c:v>0.97</c:v>
                </c:pt>
                <c:pt idx="73">
                  <c:v>0.67999999999999994</c:v>
                </c:pt>
                <c:pt idx="74">
                  <c:v>0.20999999999999996</c:v>
                </c:pt>
                <c:pt idx="75">
                  <c:v>0.28999999999999998</c:v>
                </c:pt>
                <c:pt idx="76">
                  <c:v>0.42999999999999994</c:v>
                </c:pt>
                <c:pt idx="77">
                  <c:v>0.33999999999999997</c:v>
                </c:pt>
                <c:pt idx="78">
                  <c:v>0.91999999999999993</c:v>
                </c:pt>
                <c:pt idx="79">
                  <c:v>0.19999999999999996</c:v>
                </c:pt>
                <c:pt idx="80">
                  <c:v>0.84</c:v>
                </c:pt>
                <c:pt idx="81">
                  <c:v>0.25999999999999995</c:v>
                </c:pt>
                <c:pt idx="82">
                  <c:v>0.43999999999999995</c:v>
                </c:pt>
                <c:pt idx="83">
                  <c:v>0.85</c:v>
                </c:pt>
                <c:pt idx="84">
                  <c:v>0.97</c:v>
                </c:pt>
                <c:pt idx="85">
                  <c:v>0.49</c:v>
                </c:pt>
                <c:pt idx="86">
                  <c:v>0.55999999999999994</c:v>
                </c:pt>
                <c:pt idx="87">
                  <c:v>0.86</c:v>
                </c:pt>
                <c:pt idx="88">
                  <c:v>0.54999999999999993</c:v>
                </c:pt>
                <c:pt idx="89">
                  <c:v>0.55999999999999994</c:v>
                </c:pt>
                <c:pt idx="90">
                  <c:v>0.83</c:v>
                </c:pt>
                <c:pt idx="91">
                  <c:v>0.35</c:v>
                </c:pt>
                <c:pt idx="92">
                  <c:v>0.8</c:v>
                </c:pt>
                <c:pt idx="93">
                  <c:v>0.43999999999999995</c:v>
                </c:pt>
                <c:pt idx="94">
                  <c:v>0.62</c:v>
                </c:pt>
                <c:pt idx="95">
                  <c:v>0.39</c:v>
                </c:pt>
                <c:pt idx="96">
                  <c:v>0.78</c:v>
                </c:pt>
                <c:pt idx="97">
                  <c:v>0.6</c:v>
                </c:pt>
                <c:pt idx="98">
                  <c:v>0.80999999999999994</c:v>
                </c:pt>
                <c:pt idx="99">
                  <c:v>0.54</c:v>
                </c:pt>
              </c:numCache>
            </c:numRef>
          </c:xVal>
          <c:yVal>
            <c:numRef>
              <c:f>DataInColumns!$B$2:$B$101</c:f>
              <c:numCache>
                <c:formatCode>General</c:formatCode>
                <c:ptCount val="1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1</c:v>
                </c:pt>
                <c:pt idx="50">
                  <c:v>1</c:v>
                </c:pt>
                <c:pt idx="51">
                  <c:v>1</c:v>
                </c:pt>
                <c:pt idx="52">
                  <c:v>1</c:v>
                </c:pt>
                <c:pt idx="53">
                  <c:v>1</c:v>
                </c:pt>
                <c:pt idx="54">
                  <c:v>1</c:v>
                </c:pt>
                <c:pt idx="55">
                  <c:v>1</c:v>
                </c:pt>
                <c:pt idx="56">
                  <c:v>1</c:v>
                </c:pt>
                <c:pt idx="57">
                  <c:v>1</c:v>
                </c:pt>
                <c:pt idx="58">
                  <c:v>1</c:v>
                </c:pt>
                <c:pt idx="59">
                  <c:v>1</c:v>
                </c:pt>
                <c:pt idx="60">
                  <c:v>1</c:v>
                </c:pt>
                <c:pt idx="61">
                  <c:v>1</c:v>
                </c:pt>
                <c:pt idx="62">
                  <c:v>1</c:v>
                </c:pt>
                <c:pt idx="63">
                  <c:v>1</c:v>
                </c:pt>
                <c:pt idx="64">
                  <c:v>1</c:v>
                </c:pt>
                <c:pt idx="65">
                  <c:v>1</c:v>
                </c:pt>
                <c:pt idx="66">
                  <c:v>1</c:v>
                </c:pt>
                <c:pt idx="67">
                  <c:v>1</c:v>
                </c:pt>
                <c:pt idx="68">
                  <c:v>1</c:v>
                </c:pt>
                <c:pt idx="69">
                  <c:v>1</c:v>
                </c:pt>
                <c:pt idx="70">
                  <c:v>1</c:v>
                </c:pt>
                <c:pt idx="71">
                  <c:v>1</c:v>
                </c:pt>
                <c:pt idx="72">
                  <c:v>1</c:v>
                </c:pt>
                <c:pt idx="73">
                  <c:v>1</c:v>
                </c:pt>
                <c:pt idx="74">
                  <c:v>1</c:v>
                </c:pt>
                <c:pt idx="75">
                  <c:v>1</c:v>
                </c:pt>
                <c:pt idx="76">
                  <c:v>1</c:v>
                </c:pt>
                <c:pt idx="77">
                  <c:v>1</c:v>
                </c:pt>
                <c:pt idx="78">
                  <c:v>1</c:v>
                </c:pt>
                <c:pt idx="79">
                  <c:v>1</c:v>
                </c:pt>
                <c:pt idx="80">
                  <c:v>1</c:v>
                </c:pt>
                <c:pt idx="81">
                  <c:v>1</c:v>
                </c:pt>
                <c:pt idx="82">
                  <c:v>1</c:v>
                </c:pt>
                <c:pt idx="83">
                  <c:v>1</c:v>
                </c:pt>
                <c:pt idx="84">
                  <c:v>1</c:v>
                </c:pt>
                <c:pt idx="85">
                  <c:v>1</c:v>
                </c:pt>
                <c:pt idx="86">
                  <c:v>1</c:v>
                </c:pt>
                <c:pt idx="87">
                  <c:v>1</c:v>
                </c:pt>
                <c:pt idx="88">
                  <c:v>1</c:v>
                </c:pt>
                <c:pt idx="89">
                  <c:v>1</c:v>
                </c:pt>
                <c:pt idx="90">
                  <c:v>1</c:v>
                </c:pt>
                <c:pt idx="91">
                  <c:v>1</c:v>
                </c:pt>
                <c:pt idx="92">
                  <c:v>1</c:v>
                </c:pt>
                <c:pt idx="93">
                  <c:v>1</c:v>
                </c:pt>
                <c:pt idx="94">
                  <c:v>1</c:v>
                </c:pt>
                <c:pt idx="95">
                  <c:v>1</c:v>
                </c:pt>
                <c:pt idx="96">
                  <c:v>1</c:v>
                </c:pt>
                <c:pt idx="97">
                  <c:v>1</c:v>
                </c:pt>
                <c:pt idx="98">
                  <c:v>1</c:v>
                </c:pt>
                <c:pt idx="99">
                  <c:v>1</c:v>
                </c:pt>
              </c:numCache>
            </c:numRef>
          </c:yVal>
          <c:smooth val="0"/>
        </c:ser>
        <c:dLbls>
          <c:showLegendKey val="0"/>
          <c:showVal val="0"/>
          <c:showCatName val="0"/>
          <c:showSerName val="0"/>
          <c:showPercent val="0"/>
          <c:showBubbleSize val="0"/>
        </c:dLbls>
        <c:axId val="121996416"/>
        <c:axId val="121998336"/>
      </c:scatterChart>
      <c:valAx>
        <c:axId val="121996416"/>
        <c:scaling>
          <c:orientation val="minMax"/>
          <c:max val="1"/>
          <c:min val="0"/>
        </c:scaling>
        <c:delete val="0"/>
        <c:axPos val="b"/>
        <c:title>
          <c:tx>
            <c:rich>
              <a:bodyPr/>
              <a:lstStyle/>
              <a:p>
                <a:pPr>
                  <a:defRPr/>
                </a:pPr>
                <a:r>
                  <a:rPr lang="en-US"/>
                  <a:t>PROBABILITY</a:t>
                </a:r>
                <a:r>
                  <a:rPr lang="en-US" baseline="0"/>
                  <a:t> JUDGMENT</a:t>
                </a:r>
                <a:endParaRPr lang="en-US"/>
              </a:p>
            </c:rich>
          </c:tx>
          <c:overlay val="0"/>
          <c:spPr>
            <a:noFill/>
          </c:spPr>
        </c:title>
        <c:numFmt formatCode="0.0" sourceLinked="1"/>
        <c:majorTickMark val="out"/>
        <c:minorTickMark val="none"/>
        <c:tickLblPos val="nextTo"/>
        <c:crossAx val="121998336"/>
        <c:crosses val="autoZero"/>
        <c:crossBetween val="midCat"/>
        <c:majorUnit val="0.2"/>
      </c:valAx>
      <c:valAx>
        <c:axId val="121998336"/>
        <c:scaling>
          <c:orientation val="minMax"/>
          <c:max val="1"/>
          <c:min val="0"/>
        </c:scaling>
        <c:delete val="0"/>
        <c:axPos val="l"/>
        <c:title>
          <c:tx>
            <c:rich>
              <a:bodyPr rot="-5400000" vert="horz"/>
              <a:lstStyle/>
              <a:p>
                <a:pPr>
                  <a:defRPr/>
                </a:pPr>
                <a:r>
                  <a:rPr lang="en-US"/>
                  <a:t>RELATIVE</a:t>
                </a:r>
                <a:r>
                  <a:rPr lang="en-US" baseline="0"/>
                  <a:t> FREQUENCY OF OUTCOME</a:t>
                </a:r>
                <a:endParaRPr lang="en-US"/>
              </a:p>
            </c:rich>
          </c:tx>
          <c:overlay val="0"/>
        </c:title>
        <c:numFmt formatCode="0.0" sourceLinked="0"/>
        <c:majorTickMark val="out"/>
        <c:minorTickMark val="none"/>
        <c:tickLblPos val="nextTo"/>
        <c:spPr>
          <a:ln w="9525"/>
        </c:spPr>
        <c:crossAx val="121996416"/>
        <c:crosses val="autoZero"/>
        <c:crossBetween val="midCat"/>
        <c:majorUnit val="0.2"/>
      </c:valAx>
      <c:spPr>
        <a:ln>
          <a:noFill/>
        </a:ln>
      </c:spPr>
    </c:plotArea>
    <c:plotVisOnly val="1"/>
    <c:dispBlanksAs val="span"/>
    <c:showDLblsOverMax val="0"/>
  </c:chart>
  <c:printSettings>
    <c:headerFooter/>
    <c:pageMargins b="0.75000000000000133" l="0.70000000000000062" r="0.70000000000000062" t="0.75000000000000133"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v>Mean d</c:v>
          </c:tx>
          <c:spPr>
            <a:ln w="25400">
              <a:solidFill>
                <a:srgbClr val="FF0000"/>
              </a:solidFill>
              <a:prstDash val="sysDot"/>
            </a:ln>
          </c:spPr>
          <c:marker>
            <c:symbol val="none"/>
          </c:marker>
          <c:dLbls>
            <c:dLbl>
              <c:idx val="0"/>
              <c:layout/>
              <c:spPr>
                <a:solidFill>
                  <a:schemeClr val="bg1"/>
                </a:solidFill>
              </c:spPr>
              <c:txPr>
                <a:bodyPr/>
                <a:lstStyle/>
                <a:p>
                  <a:pPr>
                    <a:defRPr i="0" baseline="0">
                      <a:solidFill>
                        <a:srgbClr val="FF0000"/>
                      </a:solidFill>
                    </a:defRPr>
                  </a:pPr>
                  <a:endParaRPr lang="en-US"/>
                </a:p>
              </c:txPr>
              <c:dLblPos val="t"/>
              <c:showLegendKey val="0"/>
              <c:showVal val="0"/>
              <c:showCatName val="1"/>
              <c:showSerName val="1"/>
              <c:showPercent val="0"/>
              <c:showBubbleSize val="0"/>
              <c:separator> = </c:separator>
            </c:dLbl>
            <c:dLbl>
              <c:idx val="1"/>
              <c:delete val="1"/>
            </c:dLbl>
            <c:spPr>
              <a:solidFill>
                <a:schemeClr val="bg1"/>
              </a:solidFill>
            </c:spPr>
            <c:txPr>
              <a:bodyPr/>
              <a:lstStyle/>
              <a:p>
                <a:pPr>
                  <a:defRPr i="0"/>
                </a:pPr>
                <a:endParaRPr lang="en-US"/>
              </a:p>
            </c:txPr>
            <c:dLblPos val="t"/>
            <c:showLegendKey val="0"/>
            <c:showVal val="0"/>
            <c:showCatName val="1"/>
            <c:showSerName val="0"/>
            <c:showPercent val="0"/>
            <c:showBubbleSize val="0"/>
            <c:separator> = </c:separator>
            <c:showLeaderLines val="0"/>
          </c:dLbls>
          <c:xVal>
            <c:numRef>
              <c:f>'Cov Decomp'!$K$10:$K$11</c:f>
              <c:numCache>
                <c:formatCode>General</c:formatCode>
                <c:ptCount val="2"/>
                <c:pt idx="0">
                  <c:v>0.51</c:v>
                </c:pt>
                <c:pt idx="1">
                  <c:v>0.51</c:v>
                </c:pt>
              </c:numCache>
            </c:numRef>
          </c:xVal>
          <c:yVal>
            <c:numRef>
              <c:f>'Cov Decomp'!$L$10:$L$11</c:f>
              <c:numCache>
                <c:formatCode>General</c:formatCode>
                <c:ptCount val="2"/>
                <c:pt idx="0">
                  <c:v>0</c:v>
                </c:pt>
                <c:pt idx="1">
                  <c:v>1</c:v>
                </c:pt>
              </c:numCache>
            </c:numRef>
          </c:yVal>
          <c:smooth val="0"/>
        </c:ser>
        <c:ser>
          <c:idx val="1"/>
          <c:order val="1"/>
          <c:tx>
            <c:v>mean f</c:v>
          </c:tx>
          <c:spPr>
            <a:ln w="25400">
              <a:solidFill>
                <a:srgbClr val="FF0000"/>
              </a:solidFill>
              <a:prstDash val="sysDot"/>
            </a:ln>
          </c:spPr>
          <c:marker>
            <c:symbol val="none"/>
          </c:marker>
          <c:dLbls>
            <c:dLbl>
              <c:idx val="0"/>
              <c:layout/>
              <c:numFmt formatCode="#,##0.00" sourceLinked="0"/>
              <c:spPr>
                <a:solidFill>
                  <a:schemeClr val="bg1"/>
                </a:solidFill>
              </c:spPr>
              <c:txPr>
                <a:bodyPr/>
                <a:lstStyle/>
                <a:p>
                  <a:pPr>
                    <a:defRPr i="0">
                      <a:solidFill>
                        <a:srgbClr val="FF0000"/>
                      </a:solidFill>
                    </a:defRPr>
                  </a:pPr>
                  <a:endParaRPr lang="en-US"/>
                </a:p>
              </c:txPr>
              <c:dLblPos val="r"/>
              <c:showLegendKey val="0"/>
              <c:showVal val="1"/>
              <c:showCatName val="0"/>
              <c:showSerName val="1"/>
              <c:showPercent val="0"/>
              <c:showBubbleSize val="0"/>
              <c:separator> = </c:separator>
            </c:dLbl>
            <c:dLbl>
              <c:idx val="1"/>
              <c:delete val="1"/>
            </c:dLbl>
            <c:txPr>
              <a:bodyPr/>
              <a:lstStyle/>
              <a:p>
                <a:pPr>
                  <a:defRPr i="0"/>
                </a:pPr>
                <a:endParaRPr lang="en-US"/>
              </a:p>
            </c:txPr>
            <c:dLblPos val="r"/>
            <c:showLegendKey val="0"/>
            <c:showVal val="1"/>
            <c:showCatName val="0"/>
            <c:showSerName val="1"/>
            <c:showPercent val="0"/>
            <c:showBubbleSize val="0"/>
            <c:showLeaderLines val="0"/>
          </c:dLbls>
          <c:xVal>
            <c:numRef>
              <c:f>'Cov Decomp'!$K$14:$K$15</c:f>
              <c:numCache>
                <c:formatCode>General</c:formatCode>
                <c:ptCount val="2"/>
                <c:pt idx="0">
                  <c:v>0</c:v>
                </c:pt>
                <c:pt idx="1">
                  <c:v>1</c:v>
                </c:pt>
              </c:numCache>
            </c:numRef>
          </c:xVal>
          <c:yVal>
            <c:numRef>
              <c:f>'Cov Decomp'!$L$14:$L$15</c:f>
              <c:numCache>
                <c:formatCode>General</c:formatCode>
                <c:ptCount val="2"/>
                <c:pt idx="0">
                  <c:v>0.49939999999999996</c:v>
                </c:pt>
                <c:pt idx="1">
                  <c:v>0.49939999999999996</c:v>
                </c:pt>
              </c:numCache>
            </c:numRef>
          </c:yVal>
          <c:smooth val="0"/>
        </c:ser>
        <c:ser>
          <c:idx val="2"/>
          <c:order val="2"/>
          <c:tx>
            <c:v>45 deg line</c:v>
          </c:tx>
          <c:spPr>
            <a:ln w="25400">
              <a:solidFill>
                <a:schemeClr val="tx1"/>
              </a:solidFill>
            </a:ln>
          </c:spPr>
          <c:marker>
            <c:symbol val="none"/>
          </c:marker>
          <c:xVal>
            <c:numRef>
              <c:f>'Cov Decomp'!$K$18:$K$19</c:f>
              <c:numCache>
                <c:formatCode>General</c:formatCode>
                <c:ptCount val="2"/>
                <c:pt idx="0">
                  <c:v>0</c:v>
                </c:pt>
                <c:pt idx="1">
                  <c:v>1</c:v>
                </c:pt>
              </c:numCache>
            </c:numRef>
          </c:xVal>
          <c:yVal>
            <c:numRef>
              <c:f>'Cov Decomp'!$L$18:$L$19</c:f>
              <c:numCache>
                <c:formatCode>General</c:formatCode>
                <c:ptCount val="2"/>
                <c:pt idx="0">
                  <c:v>0</c:v>
                </c:pt>
                <c:pt idx="1">
                  <c:v>1</c:v>
                </c:pt>
              </c:numCache>
            </c:numRef>
          </c:yVal>
          <c:smooth val="0"/>
        </c:ser>
        <c:ser>
          <c:idx val="3"/>
          <c:order val="3"/>
          <c:tx>
            <c:v>Slope</c:v>
          </c:tx>
          <c:spPr>
            <a:ln w="25400">
              <a:solidFill>
                <a:srgbClr val="FF0000"/>
              </a:solidFill>
            </a:ln>
          </c:spPr>
          <c:marker>
            <c:symbol val="none"/>
          </c:marker>
          <c:xVal>
            <c:numRef>
              <c:f>'Cov Decomp'!$K$22:$K$23</c:f>
              <c:numCache>
                <c:formatCode>General</c:formatCode>
                <c:ptCount val="2"/>
                <c:pt idx="0">
                  <c:v>0</c:v>
                </c:pt>
                <c:pt idx="1">
                  <c:v>1</c:v>
                </c:pt>
              </c:numCache>
            </c:numRef>
          </c:xVal>
          <c:yVal>
            <c:numRef>
              <c:f>'Cov Decomp'!$L$22:$L$23</c:f>
              <c:numCache>
                <c:formatCode>0.00</c:formatCode>
                <c:ptCount val="2"/>
                <c:pt idx="0">
                  <c:v>0.37877551020408151</c:v>
                </c:pt>
                <c:pt idx="1">
                  <c:v>0.61529411764705888</c:v>
                </c:pt>
              </c:numCache>
            </c:numRef>
          </c:yVal>
          <c:smooth val="0"/>
        </c:ser>
        <c:ser>
          <c:idx val="4"/>
          <c:order val="4"/>
          <c:tx>
            <c:strRef>
              <c:f>'Cov Decomp'!$K$25</c:f>
              <c:strCache>
                <c:ptCount val="1"/>
                <c:pt idx="0">
                  <c:v>f0</c:v>
                </c:pt>
              </c:strCache>
            </c:strRef>
          </c:tx>
          <c:marker>
            <c:symbol val="circle"/>
            <c:size val="7"/>
            <c:spPr>
              <a:solidFill>
                <a:srgbClr val="FF0000"/>
              </a:solidFill>
            </c:spPr>
          </c:marker>
          <c:dLbls>
            <c:txPr>
              <a:bodyPr/>
              <a:lstStyle/>
              <a:p>
                <a:pPr>
                  <a:defRPr i="0">
                    <a:solidFill>
                      <a:srgbClr val="FF0000"/>
                    </a:solidFill>
                  </a:defRPr>
                </a:pPr>
                <a:endParaRPr lang="en-US"/>
              </a:p>
            </c:txPr>
            <c:dLblPos val="r"/>
            <c:showLegendKey val="0"/>
            <c:showVal val="1"/>
            <c:showCatName val="0"/>
            <c:showSerName val="1"/>
            <c:showPercent val="0"/>
            <c:showBubbleSize val="0"/>
            <c:separator> = </c:separator>
            <c:showLeaderLines val="0"/>
          </c:dLbls>
          <c:xVal>
            <c:numRef>
              <c:f>'Cov Decomp'!$K$26</c:f>
              <c:numCache>
                <c:formatCode>General</c:formatCode>
                <c:ptCount val="1"/>
                <c:pt idx="0">
                  <c:v>0</c:v>
                </c:pt>
              </c:numCache>
            </c:numRef>
          </c:xVal>
          <c:yVal>
            <c:numRef>
              <c:f>'Cov Decomp'!$L$26</c:f>
              <c:numCache>
                <c:formatCode>0.00</c:formatCode>
                <c:ptCount val="1"/>
                <c:pt idx="0">
                  <c:v>0.37877551020408151</c:v>
                </c:pt>
              </c:numCache>
            </c:numRef>
          </c:yVal>
          <c:smooth val="0"/>
        </c:ser>
        <c:ser>
          <c:idx val="5"/>
          <c:order val="5"/>
          <c:tx>
            <c:strRef>
              <c:f>'Cov Decomp'!$K$28</c:f>
              <c:strCache>
                <c:ptCount val="1"/>
                <c:pt idx="0">
                  <c:v>f1</c:v>
                </c:pt>
              </c:strCache>
            </c:strRef>
          </c:tx>
          <c:marker>
            <c:symbol val="circle"/>
            <c:size val="5"/>
            <c:spPr>
              <a:solidFill>
                <a:srgbClr val="FF0000"/>
              </a:solidFill>
            </c:spPr>
          </c:marker>
          <c:dLbls>
            <c:dLbl>
              <c:idx val="0"/>
              <c:spPr/>
              <c:txPr>
                <a:bodyPr/>
                <a:lstStyle/>
                <a:p>
                  <a:pPr>
                    <a:defRPr i="0">
                      <a:solidFill>
                        <a:srgbClr val="FF0000"/>
                      </a:solidFill>
                    </a:defRPr>
                  </a:pPr>
                  <a:endParaRPr lang="en-US"/>
                </a:p>
              </c:txPr>
              <c:dLblPos val="l"/>
              <c:showLegendKey val="0"/>
              <c:showVal val="1"/>
              <c:showCatName val="0"/>
              <c:showSerName val="1"/>
              <c:showPercent val="0"/>
              <c:showBubbleSize val="0"/>
            </c:dLbl>
            <c:txPr>
              <a:bodyPr/>
              <a:lstStyle/>
              <a:p>
                <a:pPr>
                  <a:defRPr i="0"/>
                </a:pPr>
                <a:endParaRPr lang="en-US"/>
              </a:p>
            </c:txPr>
            <c:dLblPos val="l"/>
            <c:showLegendKey val="0"/>
            <c:showVal val="1"/>
            <c:showCatName val="0"/>
            <c:showSerName val="1"/>
            <c:showPercent val="0"/>
            <c:showBubbleSize val="0"/>
            <c:separator> = </c:separator>
            <c:showLeaderLines val="0"/>
          </c:dLbls>
          <c:xVal>
            <c:numRef>
              <c:f>'Cov Decomp'!$K$29</c:f>
              <c:numCache>
                <c:formatCode>General</c:formatCode>
                <c:ptCount val="1"/>
                <c:pt idx="0">
                  <c:v>1</c:v>
                </c:pt>
              </c:numCache>
            </c:numRef>
          </c:xVal>
          <c:yVal>
            <c:numRef>
              <c:f>'Cov Decomp'!$L$29</c:f>
              <c:numCache>
                <c:formatCode>0.00</c:formatCode>
                <c:ptCount val="1"/>
                <c:pt idx="0">
                  <c:v>0.61529411764705888</c:v>
                </c:pt>
              </c:numCache>
            </c:numRef>
          </c:yVal>
          <c:smooth val="0"/>
        </c:ser>
        <c:dLbls>
          <c:showLegendKey val="0"/>
          <c:showVal val="0"/>
          <c:showCatName val="0"/>
          <c:showSerName val="0"/>
          <c:showPercent val="0"/>
          <c:showBubbleSize val="0"/>
        </c:dLbls>
        <c:axId val="145248256"/>
        <c:axId val="145250176"/>
      </c:scatterChart>
      <c:valAx>
        <c:axId val="145248256"/>
        <c:scaling>
          <c:orientation val="minMax"/>
          <c:max val="1"/>
          <c:min val="0"/>
        </c:scaling>
        <c:delete val="0"/>
        <c:axPos val="b"/>
        <c:title>
          <c:tx>
            <c:rich>
              <a:bodyPr/>
              <a:lstStyle/>
              <a:p>
                <a:pPr>
                  <a:defRPr/>
                </a:pPr>
                <a:r>
                  <a:rPr lang="en-US"/>
                  <a:t>OUTCOME INDEX (d)</a:t>
                </a:r>
              </a:p>
            </c:rich>
          </c:tx>
          <c:layout/>
          <c:overlay val="0"/>
        </c:title>
        <c:numFmt formatCode="General" sourceLinked="1"/>
        <c:majorTickMark val="out"/>
        <c:minorTickMark val="none"/>
        <c:tickLblPos val="nextTo"/>
        <c:crossAx val="145250176"/>
        <c:crosses val="autoZero"/>
        <c:crossBetween val="midCat"/>
        <c:majorUnit val="0.1"/>
      </c:valAx>
      <c:valAx>
        <c:axId val="145250176"/>
        <c:scaling>
          <c:orientation val="minMax"/>
          <c:max val="1"/>
          <c:min val="0"/>
        </c:scaling>
        <c:delete val="0"/>
        <c:axPos val="l"/>
        <c:title>
          <c:tx>
            <c:rich>
              <a:bodyPr rot="-5400000" vert="horz"/>
              <a:lstStyle/>
              <a:p>
                <a:pPr>
                  <a:defRPr/>
                </a:pPr>
                <a:r>
                  <a:rPr lang="en-US"/>
                  <a:t>ESTIMATED PROBABILITY (f)</a:t>
                </a:r>
              </a:p>
            </c:rich>
          </c:tx>
          <c:layout/>
          <c:overlay val="0"/>
        </c:title>
        <c:numFmt formatCode="General" sourceLinked="1"/>
        <c:majorTickMark val="out"/>
        <c:minorTickMark val="none"/>
        <c:tickLblPos val="nextTo"/>
        <c:crossAx val="145248256"/>
        <c:crosses val="autoZero"/>
        <c:crossBetween val="midCat"/>
        <c:majorUnit val="0.1"/>
      </c:valAx>
    </c:plotArea>
    <c:plotVisOnly val="1"/>
    <c:dispBlanksAs val="gap"/>
    <c:showDLblsOverMax val="0"/>
  </c:chart>
  <c:printSettings>
    <c:headerFooter/>
    <c:pageMargins b="0.75000000000000133" l="0.70000000000000062" r="0.70000000000000062" t="0.75000000000000133"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9404983382703636"/>
          <c:y val="5.4673890220249113E-2"/>
          <c:w val="0.57559176540712376"/>
          <c:h val="0.9180595852997796"/>
        </c:manualLayout>
      </c:layout>
      <c:barChart>
        <c:barDir val="bar"/>
        <c:grouping val="clustered"/>
        <c:varyColors val="0"/>
        <c:ser>
          <c:idx val="0"/>
          <c:order val="0"/>
          <c:tx>
            <c:v>d = 1</c:v>
          </c:tx>
          <c:spPr>
            <a:solidFill>
              <a:srgbClr val="FF0000"/>
            </a:solidFill>
          </c:spPr>
          <c:invertIfNegative val="0"/>
          <c:val>
            <c:numRef>
              <c:f>Scatter!$B$119:$L$119</c:f>
              <c:numCache>
                <c:formatCode>General</c:formatCode>
                <c:ptCount val="11"/>
                <c:pt idx="0">
                  <c:v>0</c:v>
                </c:pt>
                <c:pt idx="1">
                  <c:v>0</c:v>
                </c:pt>
                <c:pt idx="2">
                  <c:v>3</c:v>
                </c:pt>
                <c:pt idx="3">
                  <c:v>7</c:v>
                </c:pt>
                <c:pt idx="4">
                  <c:v>7</c:v>
                </c:pt>
                <c:pt idx="5">
                  <c:v>2</c:v>
                </c:pt>
                <c:pt idx="6">
                  <c:v>7</c:v>
                </c:pt>
                <c:pt idx="7">
                  <c:v>4</c:v>
                </c:pt>
                <c:pt idx="8">
                  <c:v>12</c:v>
                </c:pt>
                <c:pt idx="9">
                  <c:v>5</c:v>
                </c:pt>
                <c:pt idx="10">
                  <c:v>4</c:v>
                </c:pt>
              </c:numCache>
            </c:numRef>
          </c:val>
        </c:ser>
        <c:dLbls>
          <c:showLegendKey val="0"/>
          <c:showVal val="0"/>
          <c:showCatName val="0"/>
          <c:showSerName val="0"/>
          <c:showPercent val="0"/>
          <c:showBubbleSize val="0"/>
        </c:dLbls>
        <c:gapWidth val="401"/>
        <c:axId val="145282560"/>
        <c:axId val="145284096"/>
      </c:barChart>
      <c:catAx>
        <c:axId val="145282560"/>
        <c:scaling>
          <c:orientation val="minMax"/>
        </c:scaling>
        <c:delete val="0"/>
        <c:axPos val="r"/>
        <c:majorTickMark val="none"/>
        <c:minorTickMark val="none"/>
        <c:tickLblPos val="none"/>
        <c:spPr>
          <a:noFill/>
          <a:effectLst>
            <a:outerShdw sx="1000" sy="1000" algn="ctr" rotWithShape="0">
              <a:srgbClr val="000000"/>
            </a:outerShdw>
          </a:effectLst>
        </c:spPr>
        <c:crossAx val="145284096"/>
        <c:crosses val="autoZero"/>
        <c:auto val="1"/>
        <c:lblAlgn val="ctr"/>
        <c:lblOffset val="100"/>
        <c:tickLblSkip val="1"/>
        <c:noMultiLvlLbl val="0"/>
      </c:catAx>
      <c:valAx>
        <c:axId val="145284096"/>
        <c:scaling>
          <c:orientation val="maxMin"/>
          <c:max val="100"/>
          <c:min val="0"/>
        </c:scaling>
        <c:delete val="0"/>
        <c:axPos val="b"/>
        <c:numFmt formatCode="General" sourceLinked="1"/>
        <c:majorTickMark val="in"/>
        <c:minorTickMark val="none"/>
        <c:tickLblPos val="high"/>
        <c:crossAx val="145282560"/>
        <c:crossesAt val="12"/>
        <c:crossBetween val="between"/>
        <c:majorUnit val="50"/>
      </c:valAx>
      <c:spPr>
        <a:noFill/>
        <a:ln w="0">
          <a:noFill/>
        </a:ln>
      </c:spPr>
    </c:plotArea>
    <c:plotVisOnly val="1"/>
    <c:dispBlanksAs val="gap"/>
    <c:showDLblsOverMax val="0"/>
  </c:chart>
  <c:spPr>
    <a:noFill/>
    <a:ln>
      <a:noFill/>
    </a:ln>
  </c:spPr>
  <c:printSettings>
    <c:headerFooter/>
    <c:pageMargins b="0.75000000000000178" l="0.70000000000000062" r="0.70000000000000062" t="0.75000000000000178"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5043630856511037"/>
          <c:y val="5.4673890220249113E-2"/>
          <c:w val="0.6067443732703558"/>
          <c:h val="0.9180595852997796"/>
        </c:manualLayout>
      </c:layout>
      <c:barChart>
        <c:barDir val="bar"/>
        <c:grouping val="clustered"/>
        <c:varyColors val="0"/>
        <c:ser>
          <c:idx val="0"/>
          <c:order val="0"/>
          <c:tx>
            <c:v>d = 0</c:v>
          </c:tx>
          <c:spPr>
            <a:solidFill>
              <a:srgbClr val="FF0000"/>
            </a:solidFill>
            <a:ln w="3175"/>
          </c:spPr>
          <c:invertIfNegative val="0"/>
          <c:val>
            <c:numRef>
              <c:f>Scatter!$B$120:$L$120</c:f>
              <c:numCache>
                <c:formatCode>General</c:formatCode>
                <c:ptCount val="11"/>
                <c:pt idx="0">
                  <c:v>3</c:v>
                </c:pt>
                <c:pt idx="1">
                  <c:v>8</c:v>
                </c:pt>
                <c:pt idx="2">
                  <c:v>6</c:v>
                </c:pt>
                <c:pt idx="3">
                  <c:v>5</c:v>
                </c:pt>
                <c:pt idx="4">
                  <c:v>6</c:v>
                </c:pt>
                <c:pt idx="5">
                  <c:v>8</c:v>
                </c:pt>
                <c:pt idx="6">
                  <c:v>5</c:v>
                </c:pt>
                <c:pt idx="7">
                  <c:v>4</c:v>
                </c:pt>
                <c:pt idx="8">
                  <c:v>4</c:v>
                </c:pt>
                <c:pt idx="9">
                  <c:v>0</c:v>
                </c:pt>
                <c:pt idx="10">
                  <c:v>0</c:v>
                </c:pt>
              </c:numCache>
            </c:numRef>
          </c:val>
        </c:ser>
        <c:dLbls>
          <c:showLegendKey val="0"/>
          <c:showVal val="0"/>
          <c:showCatName val="0"/>
          <c:showSerName val="0"/>
          <c:showPercent val="0"/>
          <c:showBubbleSize val="0"/>
        </c:dLbls>
        <c:gapWidth val="400"/>
        <c:axId val="145375232"/>
        <c:axId val="145376768"/>
      </c:barChart>
      <c:catAx>
        <c:axId val="145375232"/>
        <c:scaling>
          <c:orientation val="minMax"/>
        </c:scaling>
        <c:delete val="0"/>
        <c:axPos val="l"/>
        <c:majorTickMark val="none"/>
        <c:minorTickMark val="none"/>
        <c:tickLblPos val="none"/>
        <c:spPr>
          <a:noFill/>
          <a:effectLst>
            <a:outerShdw sx="1000" sy="1000" algn="ctr" rotWithShape="0">
              <a:srgbClr val="000000"/>
            </a:outerShdw>
          </a:effectLst>
        </c:spPr>
        <c:crossAx val="145376768"/>
        <c:crosses val="autoZero"/>
        <c:auto val="1"/>
        <c:lblAlgn val="ctr"/>
        <c:lblOffset val="100"/>
        <c:tickLblSkip val="1"/>
        <c:noMultiLvlLbl val="0"/>
      </c:catAx>
      <c:valAx>
        <c:axId val="145376768"/>
        <c:scaling>
          <c:orientation val="minMax"/>
          <c:max val="100"/>
          <c:min val="0"/>
        </c:scaling>
        <c:delete val="0"/>
        <c:axPos val="b"/>
        <c:numFmt formatCode="General" sourceLinked="1"/>
        <c:majorTickMark val="in"/>
        <c:minorTickMark val="none"/>
        <c:tickLblPos val="high"/>
        <c:crossAx val="145375232"/>
        <c:crossesAt val="12"/>
        <c:crossBetween val="between"/>
        <c:majorUnit val="50"/>
      </c:valAx>
      <c:spPr>
        <a:noFill/>
        <a:ln w="0">
          <a:noFill/>
        </a:ln>
      </c:spPr>
    </c:plotArea>
    <c:plotVisOnly val="1"/>
    <c:dispBlanksAs val="gap"/>
    <c:showDLblsOverMax val="0"/>
  </c:chart>
  <c:spPr>
    <a:noFill/>
    <a:ln>
      <a:noFill/>
    </a:ln>
  </c:spPr>
  <c:printSettings>
    <c:headerFooter/>
    <c:pageMargins b="0.75000000000000155" l="0.70000000000000062" r="0.70000000000000062" t="0.75000000000000155" header="0.30000000000000032" footer="0.30000000000000032"/>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4.xml"/><Relationship Id="rId7" Type="http://schemas.openxmlformats.org/officeDocument/2006/relationships/image" Target="../media/image4.png"/><Relationship Id="rId2" Type="http://schemas.openxmlformats.org/officeDocument/2006/relationships/chart" Target="../charts/chart3.xml"/><Relationship Id="rId1" Type="http://schemas.openxmlformats.org/officeDocument/2006/relationships/chart" Target="../charts/chart2.xml"/><Relationship Id="rId6" Type="http://schemas.openxmlformats.org/officeDocument/2006/relationships/image" Target="../media/image3.png"/><Relationship Id="rId5" Type="http://schemas.openxmlformats.org/officeDocument/2006/relationships/image" Target="../media/image2.png"/><Relationship Id="rId4"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219075</xdr:colOff>
          <xdr:row>0</xdr:row>
          <xdr:rowOff>66675</xdr:rowOff>
        </xdr:from>
        <xdr:to>
          <xdr:col>2</xdr:col>
          <xdr:colOff>171450</xdr:colOff>
          <xdr:row>2</xdr:row>
          <xdr:rowOff>114300</xdr:rowOff>
        </xdr:to>
        <xdr:sp macro="" textlink="">
          <xdr:nvSpPr>
            <xdr:cNvPr id="3074" name="Button 2" hidden="1">
              <a:extLst>
                <a:ext uri="{63B3BB69-23CF-44E3-9099-C40C66FF867C}">
                  <a14:compatExt spid="_x0000_s307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Tahoma"/>
                  <a:ea typeface="Tahoma"/>
                  <a:cs typeface="Tahoma"/>
                </a:rPr>
                <a:t>Generate Report &amp; 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542925</xdr:colOff>
          <xdr:row>0</xdr:row>
          <xdr:rowOff>85725</xdr:rowOff>
        </xdr:from>
        <xdr:to>
          <xdr:col>4</xdr:col>
          <xdr:colOff>371475</xdr:colOff>
          <xdr:row>2</xdr:row>
          <xdr:rowOff>95250</xdr:rowOff>
        </xdr:to>
        <xdr:sp macro="" textlink="">
          <xdr:nvSpPr>
            <xdr:cNvPr id="3075" name="Button 3" hidden="1">
              <a:extLst>
                <a:ext uri="{63B3BB69-23CF-44E3-9099-C40C66FF867C}">
                  <a14:compatExt spid="_x0000_s307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Tahoma"/>
                  <a:ea typeface="Tahoma"/>
                  <a:cs typeface="Tahoma"/>
                </a:rPr>
                <a:t>Generate Report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95250</xdr:colOff>
      <xdr:row>2</xdr:row>
      <xdr:rowOff>0</xdr:rowOff>
    </xdr:from>
    <xdr:to>
      <xdr:col>6</xdr:col>
      <xdr:colOff>123825</xdr:colOff>
      <xdr:row>15</xdr:row>
      <xdr:rowOff>47625</xdr:rowOff>
    </xdr:to>
    <xdr:graphicFrame macro="">
      <xdr:nvGraphicFramePr>
        <xdr:cNvPr id="6" name="Chart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xdr:col>
      <xdr:colOff>1</xdr:colOff>
      <xdr:row>6</xdr:row>
      <xdr:rowOff>28574</xdr:rowOff>
    </xdr:from>
    <xdr:to>
      <xdr:col>9</xdr:col>
      <xdr:colOff>0</xdr:colOff>
      <xdr:row>34</xdr:row>
      <xdr:rowOff>95250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19049</xdr:colOff>
      <xdr:row>3</xdr:row>
      <xdr:rowOff>66675</xdr:rowOff>
    </xdr:from>
    <xdr:to>
      <xdr:col>9</xdr:col>
      <xdr:colOff>342899</xdr:colOff>
      <xdr:row>31</xdr:row>
      <xdr:rowOff>104775</xdr:rowOff>
    </xdr:to>
    <xdr:graphicFrame macro="">
      <xdr:nvGraphicFramePr>
        <xdr:cNvPr id="6" name="Chart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371473</xdr:colOff>
      <xdr:row>3</xdr:row>
      <xdr:rowOff>95251</xdr:rowOff>
    </xdr:from>
    <xdr:to>
      <xdr:col>4</xdr:col>
      <xdr:colOff>542924</xdr:colOff>
      <xdr:row>31</xdr:row>
      <xdr:rowOff>104775</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0</xdr:colOff>
      <xdr:row>38</xdr:row>
      <xdr:rowOff>0</xdr:rowOff>
    </xdr:from>
    <xdr:to>
      <xdr:col>3</xdr:col>
      <xdr:colOff>38100</xdr:colOff>
      <xdr:row>38</xdr:row>
      <xdr:rowOff>495300</xdr:rowOff>
    </xdr:to>
    <xdr:pic>
      <xdr:nvPicPr>
        <xdr:cNvPr id="6146" name="Picture 2"/>
        <xdr:cNvPicPr>
          <a:picLocks noChangeAspect="1" noChangeArrowheads="1"/>
        </xdr:cNvPicPr>
      </xdr:nvPicPr>
      <xdr:blipFill>
        <a:blip xmlns:r="http://schemas.openxmlformats.org/officeDocument/2006/relationships" r:embed="rId4" cstate="print">
          <a:clrChange>
            <a:clrFrom>
              <a:srgbClr val="FFFFFF"/>
            </a:clrFrom>
            <a:clrTo>
              <a:srgbClr val="FFFFFF">
                <a:alpha val="0"/>
              </a:srgbClr>
            </a:clrTo>
          </a:clrChange>
        </a:blip>
        <a:srcRect/>
        <a:stretch>
          <a:fillRect/>
        </a:stretch>
      </xdr:blipFill>
      <xdr:spPr bwMode="auto">
        <a:xfrm>
          <a:off x="609600" y="7048500"/>
          <a:ext cx="1295400" cy="495300"/>
        </a:xfrm>
        <a:prstGeom prst="rect">
          <a:avLst/>
        </a:prstGeom>
        <a:noFill/>
      </xdr:spPr>
    </xdr:pic>
    <xdr:clientData/>
  </xdr:twoCellAnchor>
  <xdr:twoCellAnchor>
    <xdr:from>
      <xdr:col>1</xdr:col>
      <xdr:colOff>0</xdr:colOff>
      <xdr:row>43</xdr:row>
      <xdr:rowOff>0</xdr:rowOff>
    </xdr:from>
    <xdr:to>
      <xdr:col>2</xdr:col>
      <xdr:colOff>152400</xdr:colOff>
      <xdr:row>44</xdr:row>
      <xdr:rowOff>19050</xdr:rowOff>
    </xdr:to>
    <xdr:pic>
      <xdr:nvPicPr>
        <xdr:cNvPr id="6147" name="Picture 3"/>
        <xdr:cNvPicPr>
          <a:picLocks noChangeAspect="1" noChangeArrowheads="1"/>
        </xdr:cNvPicPr>
      </xdr:nvPicPr>
      <xdr:blipFill>
        <a:blip xmlns:r="http://schemas.openxmlformats.org/officeDocument/2006/relationships" r:embed="rId5" cstate="print">
          <a:clrChange>
            <a:clrFrom>
              <a:srgbClr val="FFFFFF"/>
            </a:clrFrom>
            <a:clrTo>
              <a:srgbClr val="FFFFFF">
                <a:alpha val="0"/>
              </a:srgbClr>
            </a:clrTo>
          </a:clrChange>
        </a:blip>
        <a:srcRect/>
        <a:stretch>
          <a:fillRect/>
        </a:stretch>
      </xdr:blipFill>
      <xdr:spPr bwMode="auto">
        <a:xfrm>
          <a:off x="609600" y="9382125"/>
          <a:ext cx="800100" cy="200025"/>
        </a:xfrm>
        <a:prstGeom prst="rect">
          <a:avLst/>
        </a:prstGeom>
        <a:noFill/>
      </xdr:spPr>
    </xdr:pic>
    <xdr:clientData/>
  </xdr:twoCellAnchor>
  <xdr:twoCellAnchor>
    <xdr:from>
      <xdr:col>1</xdr:col>
      <xdr:colOff>0</xdr:colOff>
      <xdr:row>46</xdr:row>
      <xdr:rowOff>0</xdr:rowOff>
    </xdr:from>
    <xdr:to>
      <xdr:col>2</xdr:col>
      <xdr:colOff>276225</xdr:colOff>
      <xdr:row>47</xdr:row>
      <xdr:rowOff>38100</xdr:rowOff>
    </xdr:to>
    <xdr:pic>
      <xdr:nvPicPr>
        <xdr:cNvPr id="6148" name="Picture 4"/>
        <xdr:cNvPicPr>
          <a:picLocks noChangeAspect="1" noChangeArrowheads="1"/>
        </xdr:cNvPicPr>
      </xdr:nvPicPr>
      <xdr:blipFill>
        <a:blip xmlns:r="http://schemas.openxmlformats.org/officeDocument/2006/relationships" r:embed="rId6" cstate="print">
          <a:clrChange>
            <a:clrFrom>
              <a:srgbClr val="FFFFFF"/>
            </a:clrFrom>
            <a:clrTo>
              <a:srgbClr val="FFFFFF">
                <a:alpha val="0"/>
              </a:srgbClr>
            </a:clrTo>
          </a:clrChange>
        </a:blip>
        <a:srcRect/>
        <a:stretch>
          <a:fillRect/>
        </a:stretch>
      </xdr:blipFill>
      <xdr:spPr bwMode="auto">
        <a:xfrm>
          <a:off x="609600" y="10744200"/>
          <a:ext cx="923925" cy="200025"/>
        </a:xfrm>
        <a:prstGeom prst="rect">
          <a:avLst/>
        </a:prstGeom>
        <a:noFill/>
      </xdr:spPr>
    </xdr:pic>
    <xdr:clientData/>
  </xdr:twoCellAnchor>
  <xdr:twoCellAnchor>
    <xdr:from>
      <xdr:col>1</xdr:col>
      <xdr:colOff>0</xdr:colOff>
      <xdr:row>49</xdr:row>
      <xdr:rowOff>76200</xdr:rowOff>
    </xdr:from>
    <xdr:to>
      <xdr:col>4</xdr:col>
      <xdr:colOff>190500</xdr:colOff>
      <xdr:row>51</xdr:row>
      <xdr:rowOff>133350</xdr:rowOff>
    </xdr:to>
    <xdr:pic>
      <xdr:nvPicPr>
        <xdr:cNvPr id="6149" name="Picture 5"/>
        <xdr:cNvPicPr>
          <a:picLocks noChangeAspect="1" noChangeArrowheads="1"/>
        </xdr:cNvPicPr>
      </xdr:nvPicPr>
      <xdr:blipFill>
        <a:blip xmlns:r="http://schemas.openxmlformats.org/officeDocument/2006/relationships" r:embed="rId7" cstate="print">
          <a:clrChange>
            <a:clrFrom>
              <a:srgbClr val="FFFFFF"/>
            </a:clrFrom>
            <a:clrTo>
              <a:srgbClr val="FFFFFF">
                <a:alpha val="0"/>
              </a:srgbClr>
            </a:clrTo>
          </a:clrChange>
        </a:blip>
        <a:srcRect/>
        <a:stretch>
          <a:fillRect/>
        </a:stretch>
      </xdr:blipFill>
      <xdr:spPr bwMode="auto">
        <a:xfrm>
          <a:off x="609600" y="12315825"/>
          <a:ext cx="2057400" cy="381000"/>
        </a:xfrm>
        <a:prstGeom prst="rect">
          <a:avLst/>
        </a:prstGeom>
        <a:noFill/>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4:DQ23"/>
  <sheetViews>
    <sheetView topLeftCell="B1" workbookViewId="0">
      <selection activeCell="I13" sqref="I13"/>
    </sheetView>
  </sheetViews>
  <sheetFormatPr defaultRowHeight="12.75" x14ac:dyDescent="0.2"/>
  <cols>
    <col min="1" max="1" width="14.7109375" customWidth="1"/>
    <col min="3" max="3" width="17.28515625" customWidth="1"/>
    <col min="4" max="4" width="16.5703125" customWidth="1"/>
    <col min="11" max="11" width="33.28515625" customWidth="1"/>
  </cols>
  <sheetData>
    <row r="4" spans="1:121" x14ac:dyDescent="0.2">
      <c r="A4" t="s">
        <v>0</v>
      </c>
      <c r="B4" t="s">
        <v>1</v>
      </c>
      <c r="C4" t="s">
        <v>2</v>
      </c>
      <c r="D4" t="s">
        <v>3</v>
      </c>
      <c r="E4" t="s">
        <v>4</v>
      </c>
      <c r="F4" t="s">
        <v>5</v>
      </c>
      <c r="G4" t="s">
        <v>6</v>
      </c>
      <c r="H4" t="s">
        <v>7</v>
      </c>
      <c r="I4" t="s">
        <v>8</v>
      </c>
      <c r="J4" t="s">
        <v>9</v>
      </c>
      <c r="K4" t="s">
        <v>10</v>
      </c>
      <c r="U4" t="s">
        <v>11</v>
      </c>
      <c r="V4" t="s">
        <v>12</v>
      </c>
      <c r="W4" t="s">
        <v>13</v>
      </c>
      <c r="X4" t="s">
        <v>14</v>
      </c>
      <c r="Y4" t="s">
        <v>15</v>
      </c>
      <c r="Z4" t="s">
        <v>16</v>
      </c>
      <c r="AA4" t="s">
        <v>17</v>
      </c>
      <c r="AB4" t="s">
        <v>18</v>
      </c>
      <c r="AC4" t="s">
        <v>19</v>
      </c>
      <c r="AD4" t="s">
        <v>20</v>
      </c>
      <c r="AE4" t="s">
        <v>21</v>
      </c>
      <c r="AF4" t="s">
        <v>22</v>
      </c>
      <c r="AG4" t="s">
        <v>23</v>
      </c>
      <c r="AH4" t="s">
        <v>24</v>
      </c>
      <c r="AI4" t="s">
        <v>25</v>
      </c>
      <c r="AJ4" t="s">
        <v>26</v>
      </c>
      <c r="AK4" t="s">
        <v>27</v>
      </c>
      <c r="AL4" t="s">
        <v>28</v>
      </c>
      <c r="AM4" t="s">
        <v>29</v>
      </c>
      <c r="AN4" t="s">
        <v>30</v>
      </c>
      <c r="AO4" t="s">
        <v>31</v>
      </c>
      <c r="AP4" t="s">
        <v>32</v>
      </c>
      <c r="AQ4" t="s">
        <v>33</v>
      </c>
      <c r="AR4" t="s">
        <v>34</v>
      </c>
      <c r="AS4" t="s">
        <v>35</v>
      </c>
      <c r="AT4" t="s">
        <v>36</v>
      </c>
      <c r="AU4" t="s">
        <v>37</v>
      </c>
      <c r="AV4" t="s">
        <v>38</v>
      </c>
      <c r="AW4" t="s">
        <v>39</v>
      </c>
      <c r="AX4" t="s">
        <v>40</v>
      </c>
      <c r="AY4" t="s">
        <v>41</v>
      </c>
      <c r="AZ4" t="s">
        <v>42</v>
      </c>
      <c r="BA4" t="s">
        <v>43</v>
      </c>
      <c r="BB4" t="s">
        <v>44</v>
      </c>
      <c r="BC4" t="s">
        <v>45</v>
      </c>
      <c r="BD4" t="s">
        <v>46</v>
      </c>
      <c r="BE4" t="s">
        <v>47</v>
      </c>
      <c r="BF4" t="s">
        <v>48</v>
      </c>
      <c r="BG4" t="s">
        <v>49</v>
      </c>
      <c r="BH4" t="s">
        <v>50</v>
      </c>
      <c r="BI4" t="s">
        <v>51</v>
      </c>
      <c r="BJ4" t="s">
        <v>52</v>
      </c>
      <c r="BK4" t="s">
        <v>53</v>
      </c>
      <c r="BL4" t="s">
        <v>54</v>
      </c>
      <c r="BM4" t="s">
        <v>55</v>
      </c>
      <c r="BN4" t="s">
        <v>56</v>
      </c>
      <c r="BO4" t="s">
        <v>57</v>
      </c>
      <c r="BP4" t="s">
        <v>58</v>
      </c>
      <c r="BQ4" t="s">
        <v>59</v>
      </c>
      <c r="BR4" t="s">
        <v>60</v>
      </c>
      <c r="BS4" t="s">
        <v>61</v>
      </c>
      <c r="BT4" t="s">
        <v>62</v>
      </c>
      <c r="BU4" t="s">
        <v>63</v>
      </c>
      <c r="BV4" t="s">
        <v>64</v>
      </c>
      <c r="BW4" t="s">
        <v>65</v>
      </c>
      <c r="BX4" t="s">
        <v>66</v>
      </c>
      <c r="BY4" t="s">
        <v>67</v>
      </c>
      <c r="BZ4" t="s">
        <v>68</v>
      </c>
      <c r="CA4" t="s">
        <v>69</v>
      </c>
      <c r="CB4" t="s">
        <v>70</v>
      </c>
      <c r="CC4" t="s">
        <v>71</v>
      </c>
      <c r="CD4" t="s">
        <v>72</v>
      </c>
      <c r="CE4" t="s">
        <v>73</v>
      </c>
      <c r="CF4" t="s">
        <v>74</v>
      </c>
      <c r="CG4" t="s">
        <v>75</v>
      </c>
      <c r="CH4" t="s">
        <v>76</v>
      </c>
      <c r="CI4" t="s">
        <v>77</v>
      </c>
      <c r="CJ4" t="s">
        <v>78</v>
      </c>
      <c r="CK4" t="s">
        <v>79</v>
      </c>
      <c r="CL4" t="s">
        <v>80</v>
      </c>
      <c r="CM4" t="s">
        <v>81</v>
      </c>
      <c r="CN4" t="s">
        <v>82</v>
      </c>
      <c r="CO4" t="s">
        <v>83</v>
      </c>
      <c r="CP4" t="s">
        <v>84</v>
      </c>
      <c r="CQ4" t="s">
        <v>85</v>
      </c>
      <c r="CR4" t="s">
        <v>86</v>
      </c>
      <c r="CS4" t="s">
        <v>87</v>
      </c>
      <c r="CT4" t="s">
        <v>88</v>
      </c>
      <c r="CU4" t="s">
        <v>89</v>
      </c>
      <c r="CV4" t="s">
        <v>90</v>
      </c>
      <c r="CW4" t="s">
        <v>91</v>
      </c>
      <c r="CX4" t="s">
        <v>92</v>
      </c>
      <c r="CY4" t="s">
        <v>93</v>
      </c>
      <c r="CZ4" t="s">
        <v>94</v>
      </c>
      <c r="DA4" t="s">
        <v>95</v>
      </c>
      <c r="DB4" t="s">
        <v>96</v>
      </c>
      <c r="DC4" t="s">
        <v>97</v>
      </c>
      <c r="DD4" t="s">
        <v>98</v>
      </c>
      <c r="DE4" t="s">
        <v>99</v>
      </c>
      <c r="DF4" t="s">
        <v>100</v>
      </c>
      <c r="DG4" t="s">
        <v>101</v>
      </c>
      <c r="DH4" t="s">
        <v>102</v>
      </c>
      <c r="DI4" t="s">
        <v>103</v>
      </c>
      <c r="DJ4" t="s">
        <v>104</v>
      </c>
      <c r="DK4" t="s">
        <v>105</v>
      </c>
      <c r="DL4" t="s">
        <v>106</v>
      </c>
      <c r="DM4" t="s">
        <v>107</v>
      </c>
      <c r="DN4" t="s">
        <v>108</v>
      </c>
      <c r="DO4" t="s">
        <v>109</v>
      </c>
      <c r="DP4" t="s">
        <v>110</v>
      </c>
      <c r="DQ4" t="s">
        <v>111</v>
      </c>
    </row>
    <row r="5" spans="1:121" x14ac:dyDescent="0.2">
      <c r="A5" t="s">
        <v>112</v>
      </c>
      <c r="B5" t="s">
        <v>112</v>
      </c>
      <c r="C5" t="s">
        <v>112</v>
      </c>
      <c r="D5" t="s">
        <v>112</v>
      </c>
      <c r="E5" t="s">
        <v>112</v>
      </c>
      <c r="F5" t="s">
        <v>112</v>
      </c>
      <c r="G5" t="s">
        <v>112</v>
      </c>
      <c r="H5" t="s">
        <v>112</v>
      </c>
      <c r="I5" t="s">
        <v>112</v>
      </c>
      <c r="J5" t="s">
        <v>113</v>
      </c>
      <c r="K5" t="s">
        <v>114</v>
      </c>
      <c r="L5" t="s">
        <v>115</v>
      </c>
      <c r="M5" t="s">
        <v>116</v>
      </c>
      <c r="N5" t="s">
        <v>117</v>
      </c>
      <c r="O5" t="s">
        <v>118</v>
      </c>
      <c r="P5" t="s">
        <v>119</v>
      </c>
      <c r="Q5" t="s">
        <v>120</v>
      </c>
      <c r="R5" t="s">
        <v>121</v>
      </c>
      <c r="S5" t="s">
        <v>122</v>
      </c>
      <c r="T5" t="s">
        <v>123</v>
      </c>
      <c r="U5" t="s">
        <v>113</v>
      </c>
      <c r="V5" t="s">
        <v>113</v>
      </c>
      <c r="W5" t="s">
        <v>113</v>
      </c>
      <c r="X5" t="s">
        <v>113</v>
      </c>
      <c r="Y5" t="s">
        <v>113</v>
      </c>
      <c r="Z5" t="s">
        <v>113</v>
      </c>
      <c r="AA5" t="s">
        <v>113</v>
      </c>
      <c r="AB5" t="s">
        <v>113</v>
      </c>
      <c r="AC5" t="s">
        <v>113</v>
      </c>
      <c r="AD5" t="s">
        <v>113</v>
      </c>
      <c r="AE5" t="s">
        <v>113</v>
      </c>
      <c r="AF5" t="s">
        <v>113</v>
      </c>
      <c r="AG5" t="s">
        <v>113</v>
      </c>
      <c r="AH5" t="s">
        <v>113</v>
      </c>
      <c r="AI5" t="s">
        <v>113</v>
      </c>
      <c r="AJ5" t="s">
        <v>113</v>
      </c>
      <c r="AK5" t="s">
        <v>113</v>
      </c>
      <c r="AL5" t="s">
        <v>113</v>
      </c>
      <c r="AM5" t="s">
        <v>113</v>
      </c>
      <c r="AN5" t="s">
        <v>113</v>
      </c>
      <c r="AO5" t="s">
        <v>113</v>
      </c>
      <c r="AP5" t="s">
        <v>113</v>
      </c>
      <c r="AQ5" t="s">
        <v>113</v>
      </c>
      <c r="AR5" t="s">
        <v>113</v>
      </c>
      <c r="AS5" t="s">
        <v>113</v>
      </c>
      <c r="AT5" t="s">
        <v>113</v>
      </c>
      <c r="AU5" t="s">
        <v>113</v>
      </c>
      <c r="AV5" t="s">
        <v>113</v>
      </c>
      <c r="AW5" t="s">
        <v>113</v>
      </c>
      <c r="AX5" t="s">
        <v>113</v>
      </c>
      <c r="AY5" t="s">
        <v>113</v>
      </c>
      <c r="AZ5" t="s">
        <v>113</v>
      </c>
      <c r="BA5" t="s">
        <v>113</v>
      </c>
      <c r="BB5" t="s">
        <v>113</v>
      </c>
      <c r="BC5" t="s">
        <v>113</v>
      </c>
      <c r="BD5" t="s">
        <v>113</v>
      </c>
      <c r="BE5" t="s">
        <v>113</v>
      </c>
      <c r="BF5" t="s">
        <v>113</v>
      </c>
      <c r="BG5" t="s">
        <v>113</v>
      </c>
      <c r="BH5" t="s">
        <v>113</v>
      </c>
      <c r="BI5" t="s">
        <v>113</v>
      </c>
      <c r="BJ5" t="s">
        <v>113</v>
      </c>
      <c r="BK5" t="s">
        <v>113</v>
      </c>
      <c r="BL5" t="s">
        <v>113</v>
      </c>
      <c r="BM5" t="s">
        <v>113</v>
      </c>
      <c r="BN5" t="s">
        <v>113</v>
      </c>
      <c r="BO5" t="s">
        <v>113</v>
      </c>
      <c r="BP5" t="s">
        <v>113</v>
      </c>
      <c r="BQ5" t="s">
        <v>113</v>
      </c>
      <c r="BR5" t="s">
        <v>113</v>
      </c>
      <c r="BS5" t="s">
        <v>113</v>
      </c>
      <c r="BT5" t="s">
        <v>113</v>
      </c>
      <c r="BU5" t="s">
        <v>113</v>
      </c>
      <c r="BV5" t="s">
        <v>113</v>
      </c>
      <c r="BW5" t="s">
        <v>113</v>
      </c>
      <c r="BX5" t="s">
        <v>113</v>
      </c>
      <c r="BY5" t="s">
        <v>113</v>
      </c>
      <c r="BZ5" t="s">
        <v>113</v>
      </c>
      <c r="CA5" t="s">
        <v>113</v>
      </c>
      <c r="CB5" t="s">
        <v>113</v>
      </c>
      <c r="CC5" t="s">
        <v>113</v>
      </c>
      <c r="CD5" t="s">
        <v>113</v>
      </c>
      <c r="CE5" t="s">
        <v>113</v>
      </c>
      <c r="CF5" t="s">
        <v>113</v>
      </c>
      <c r="CG5" t="s">
        <v>113</v>
      </c>
      <c r="CH5" t="s">
        <v>113</v>
      </c>
      <c r="CI5" t="s">
        <v>113</v>
      </c>
      <c r="CJ5" t="s">
        <v>113</v>
      </c>
      <c r="CK5" t="s">
        <v>113</v>
      </c>
      <c r="CL5" t="s">
        <v>113</v>
      </c>
      <c r="CM5" t="s">
        <v>113</v>
      </c>
      <c r="CN5" t="s">
        <v>113</v>
      </c>
      <c r="CO5" t="s">
        <v>113</v>
      </c>
      <c r="CP5" t="s">
        <v>113</v>
      </c>
      <c r="CQ5" t="s">
        <v>113</v>
      </c>
      <c r="CR5" t="s">
        <v>113</v>
      </c>
      <c r="CS5" t="s">
        <v>113</v>
      </c>
      <c r="CT5" t="s">
        <v>113</v>
      </c>
      <c r="CU5" t="s">
        <v>113</v>
      </c>
      <c r="CV5" t="s">
        <v>113</v>
      </c>
      <c r="CW5" t="s">
        <v>113</v>
      </c>
      <c r="CX5" t="s">
        <v>113</v>
      </c>
      <c r="CY5" t="s">
        <v>113</v>
      </c>
      <c r="CZ5" t="s">
        <v>113</v>
      </c>
      <c r="DA5" t="s">
        <v>113</v>
      </c>
      <c r="DB5" t="s">
        <v>113</v>
      </c>
      <c r="DC5" t="s">
        <v>113</v>
      </c>
      <c r="DD5" t="s">
        <v>113</v>
      </c>
      <c r="DE5" t="s">
        <v>113</v>
      </c>
      <c r="DF5" t="s">
        <v>113</v>
      </c>
      <c r="DG5" t="s">
        <v>113</v>
      </c>
      <c r="DH5" t="s">
        <v>113</v>
      </c>
      <c r="DI5" t="s">
        <v>113</v>
      </c>
      <c r="DJ5" t="s">
        <v>113</v>
      </c>
      <c r="DK5" t="s">
        <v>113</v>
      </c>
      <c r="DL5" t="s">
        <v>113</v>
      </c>
      <c r="DM5" t="s">
        <v>113</v>
      </c>
      <c r="DN5" t="s">
        <v>113</v>
      </c>
      <c r="DO5" t="s">
        <v>113</v>
      </c>
      <c r="DP5" t="s">
        <v>113</v>
      </c>
      <c r="DQ5" t="s">
        <v>124</v>
      </c>
    </row>
    <row r="6" spans="1:121" x14ac:dyDescent="0.2">
      <c r="A6" s="82">
        <v>1322335418</v>
      </c>
      <c r="B6" s="82">
        <v>17670072</v>
      </c>
      <c r="C6" s="83">
        <v>40596.837094907409</v>
      </c>
      <c r="D6" s="83">
        <v>40596.846689814818</v>
      </c>
      <c r="E6" s="82"/>
      <c r="F6" s="82"/>
      <c r="G6" s="82"/>
      <c r="H6" s="82"/>
      <c r="I6" s="82"/>
      <c r="J6" s="82"/>
      <c r="K6" s="82" t="s">
        <v>348</v>
      </c>
      <c r="L6" s="82"/>
      <c r="M6" s="82"/>
      <c r="N6" s="82"/>
      <c r="O6" s="82" t="s">
        <v>273</v>
      </c>
      <c r="P6" s="82"/>
      <c r="Q6" s="82"/>
      <c r="R6" s="82"/>
      <c r="S6" s="82"/>
      <c r="T6" s="82"/>
      <c r="U6" s="82">
        <v>4</v>
      </c>
      <c r="V6" s="82">
        <v>1</v>
      </c>
      <c r="W6" s="82">
        <v>7</v>
      </c>
      <c r="X6" s="82">
        <v>4</v>
      </c>
      <c r="Y6" s="82">
        <v>1</v>
      </c>
      <c r="Z6" s="82">
        <v>1</v>
      </c>
      <c r="AA6" s="82">
        <v>4</v>
      </c>
      <c r="AB6" s="82">
        <v>4</v>
      </c>
      <c r="AC6" s="82">
        <v>7</v>
      </c>
      <c r="AD6" s="82">
        <v>4</v>
      </c>
      <c r="AE6" s="82">
        <v>3</v>
      </c>
      <c r="AF6" s="82">
        <v>4</v>
      </c>
      <c r="AG6" s="82">
        <v>1</v>
      </c>
      <c r="AH6" s="82">
        <v>6</v>
      </c>
      <c r="AI6" s="82">
        <v>7</v>
      </c>
      <c r="AJ6" s="82">
        <v>4</v>
      </c>
      <c r="AK6" s="82">
        <v>6</v>
      </c>
      <c r="AL6" s="82">
        <v>4</v>
      </c>
      <c r="AM6" s="82">
        <v>2</v>
      </c>
      <c r="AN6" s="82">
        <v>2</v>
      </c>
      <c r="AO6" s="82">
        <v>4</v>
      </c>
      <c r="AP6" s="82">
        <v>4</v>
      </c>
      <c r="AQ6" s="82">
        <v>4</v>
      </c>
      <c r="AR6" s="82">
        <v>3</v>
      </c>
      <c r="AS6" s="82">
        <v>2</v>
      </c>
      <c r="AT6" s="82">
        <v>4</v>
      </c>
      <c r="AU6" s="82">
        <v>2</v>
      </c>
      <c r="AV6" s="82">
        <v>1</v>
      </c>
      <c r="AW6" s="82">
        <v>1</v>
      </c>
      <c r="AX6" s="82">
        <v>1</v>
      </c>
      <c r="AY6" s="82">
        <v>2</v>
      </c>
      <c r="AZ6" s="82">
        <v>1</v>
      </c>
      <c r="BA6" s="82">
        <v>2</v>
      </c>
      <c r="BB6" s="82">
        <v>4</v>
      </c>
      <c r="BC6" s="82">
        <v>4</v>
      </c>
      <c r="BD6" s="82">
        <v>1</v>
      </c>
      <c r="BE6" s="82">
        <v>4</v>
      </c>
      <c r="BF6" s="82">
        <v>7</v>
      </c>
      <c r="BG6" s="82">
        <v>4</v>
      </c>
      <c r="BH6" s="82">
        <v>1</v>
      </c>
      <c r="BI6" s="82">
        <v>4</v>
      </c>
      <c r="BJ6" s="82">
        <v>1</v>
      </c>
      <c r="BK6" s="82">
        <v>1</v>
      </c>
      <c r="BL6" s="82">
        <v>4</v>
      </c>
      <c r="BM6" s="82">
        <v>4</v>
      </c>
      <c r="BN6" s="82">
        <v>3</v>
      </c>
      <c r="BO6" s="82">
        <v>3</v>
      </c>
      <c r="BP6" s="82">
        <v>7</v>
      </c>
      <c r="BQ6" s="82">
        <v>4</v>
      </c>
      <c r="BR6" s="82">
        <v>4</v>
      </c>
      <c r="BS6" s="82">
        <v>4</v>
      </c>
      <c r="BT6" s="82">
        <v>7</v>
      </c>
      <c r="BU6" s="82">
        <v>4</v>
      </c>
      <c r="BV6" s="82">
        <v>7</v>
      </c>
      <c r="BW6" s="82">
        <v>4</v>
      </c>
      <c r="BX6" s="82">
        <v>3</v>
      </c>
      <c r="BY6" s="82">
        <v>1</v>
      </c>
      <c r="BZ6" s="82">
        <v>1</v>
      </c>
      <c r="CA6" s="82">
        <v>1</v>
      </c>
      <c r="CB6" s="82">
        <v>4</v>
      </c>
      <c r="CC6" s="82">
        <v>1</v>
      </c>
      <c r="CD6" s="82">
        <v>4</v>
      </c>
      <c r="CE6" s="82">
        <v>5</v>
      </c>
      <c r="CF6" s="82">
        <v>7</v>
      </c>
      <c r="CG6" s="82">
        <v>2</v>
      </c>
      <c r="CH6" s="82">
        <v>4</v>
      </c>
      <c r="CI6" s="82">
        <v>1</v>
      </c>
      <c r="CJ6" s="82">
        <v>3</v>
      </c>
      <c r="CK6" s="82">
        <v>4</v>
      </c>
      <c r="CL6" s="82">
        <v>1</v>
      </c>
      <c r="CM6" s="82">
        <v>1</v>
      </c>
      <c r="CN6" s="82">
        <v>4</v>
      </c>
      <c r="CO6" s="82">
        <v>3</v>
      </c>
      <c r="CP6" s="82">
        <v>7</v>
      </c>
      <c r="CQ6" s="82">
        <v>4</v>
      </c>
      <c r="CR6" s="82">
        <v>7</v>
      </c>
      <c r="CS6" s="82">
        <v>7</v>
      </c>
      <c r="CT6" s="82">
        <v>7</v>
      </c>
      <c r="CU6" s="82">
        <v>3</v>
      </c>
      <c r="CV6" s="82">
        <v>2</v>
      </c>
      <c r="CW6" s="82">
        <v>7</v>
      </c>
      <c r="CX6" s="82">
        <v>4</v>
      </c>
      <c r="CY6" s="82">
        <v>4</v>
      </c>
      <c r="CZ6" s="82">
        <v>3</v>
      </c>
      <c r="DA6" s="82">
        <v>6</v>
      </c>
      <c r="DB6" s="82">
        <v>3</v>
      </c>
      <c r="DC6" s="82">
        <v>3</v>
      </c>
      <c r="DD6" s="82">
        <v>2</v>
      </c>
      <c r="DE6" s="82">
        <v>4</v>
      </c>
      <c r="DF6" s="82">
        <v>1</v>
      </c>
      <c r="DG6" s="82">
        <v>7</v>
      </c>
      <c r="DH6" s="82">
        <v>6</v>
      </c>
      <c r="DI6" s="82">
        <v>4</v>
      </c>
      <c r="DJ6" s="82">
        <v>3</v>
      </c>
      <c r="DK6" s="82">
        <v>4</v>
      </c>
      <c r="DL6" s="82">
        <v>2</v>
      </c>
      <c r="DM6" s="82">
        <v>4</v>
      </c>
      <c r="DN6" s="82">
        <v>4</v>
      </c>
      <c r="DO6" s="82">
        <v>5</v>
      </c>
      <c r="DP6" s="82">
        <v>4</v>
      </c>
    </row>
    <row r="7" spans="1:121" s="26" customFormat="1" x14ac:dyDescent="0.2">
      <c r="A7" s="89" t="s">
        <v>221</v>
      </c>
      <c r="B7" s="89"/>
      <c r="C7" s="89"/>
      <c r="D7" s="89"/>
      <c r="E7" s="89"/>
      <c r="F7" s="89"/>
      <c r="G7" s="89"/>
      <c r="H7" s="89"/>
      <c r="I7" s="89"/>
      <c r="J7" s="89"/>
      <c r="K7" s="89"/>
      <c r="L7" s="89"/>
      <c r="M7" s="89"/>
      <c r="N7" s="89"/>
      <c r="O7" s="89"/>
      <c r="P7" s="89"/>
      <c r="Q7" s="89"/>
      <c r="R7" s="89"/>
      <c r="S7" s="89"/>
    </row>
    <row r="8" spans="1:121" s="37" customFormat="1" x14ac:dyDescent="0.2">
      <c r="A8" s="82">
        <v>1342101440</v>
      </c>
      <c r="B8" s="82">
        <v>17670072</v>
      </c>
      <c r="C8" s="83">
        <v>40611.171215277776</v>
      </c>
      <c r="D8" s="83">
        <v>40611.18246527778</v>
      </c>
      <c r="E8" s="82"/>
      <c r="F8" s="82"/>
      <c r="G8" s="82"/>
      <c r="H8" s="82"/>
      <c r="I8" s="82"/>
      <c r="J8" s="82">
        <v>1</v>
      </c>
      <c r="K8" s="82" t="s">
        <v>307</v>
      </c>
      <c r="L8" s="82" t="s">
        <v>308</v>
      </c>
      <c r="M8" s="82">
        <v>12</v>
      </c>
      <c r="N8" s="82" t="s">
        <v>309</v>
      </c>
      <c r="O8" s="82" t="s">
        <v>269</v>
      </c>
      <c r="P8" s="82"/>
      <c r="Q8" s="82"/>
      <c r="R8" s="82"/>
      <c r="S8" s="82"/>
      <c r="T8" s="82"/>
      <c r="U8" s="82">
        <v>4</v>
      </c>
      <c r="V8" s="82">
        <v>2</v>
      </c>
      <c r="W8" s="82">
        <v>7</v>
      </c>
      <c r="X8" s="82">
        <v>4</v>
      </c>
      <c r="Y8" s="82">
        <v>2</v>
      </c>
      <c r="Z8" s="82">
        <v>7</v>
      </c>
      <c r="AA8" s="82">
        <v>4</v>
      </c>
      <c r="AB8" s="82">
        <v>3</v>
      </c>
      <c r="AC8" s="82">
        <v>4</v>
      </c>
      <c r="AD8" s="82">
        <v>4</v>
      </c>
      <c r="AE8" s="82">
        <v>4</v>
      </c>
      <c r="AF8" s="82">
        <v>4</v>
      </c>
      <c r="AG8" s="82">
        <v>1</v>
      </c>
      <c r="AH8" s="82">
        <v>1</v>
      </c>
      <c r="AI8" s="82">
        <v>7</v>
      </c>
      <c r="AJ8" s="82">
        <v>4</v>
      </c>
      <c r="AK8" s="82">
        <v>4</v>
      </c>
      <c r="AL8" s="82">
        <v>4</v>
      </c>
      <c r="AM8" s="82">
        <v>2</v>
      </c>
      <c r="AN8" s="82">
        <v>3</v>
      </c>
      <c r="AO8" s="82">
        <v>4</v>
      </c>
      <c r="AP8" s="82">
        <v>7</v>
      </c>
      <c r="AQ8" s="82">
        <v>4</v>
      </c>
      <c r="AR8" s="82">
        <v>4</v>
      </c>
      <c r="AS8" s="82">
        <v>4</v>
      </c>
      <c r="AT8" s="82">
        <v>4</v>
      </c>
      <c r="AU8" s="82">
        <v>4</v>
      </c>
      <c r="AV8" s="82">
        <v>1</v>
      </c>
      <c r="AW8" s="82">
        <v>4</v>
      </c>
      <c r="AX8" s="82">
        <v>2</v>
      </c>
      <c r="AY8" s="82">
        <v>2</v>
      </c>
      <c r="AZ8" s="82">
        <v>4</v>
      </c>
      <c r="BA8" s="82">
        <v>3</v>
      </c>
      <c r="BB8" s="82">
        <v>2</v>
      </c>
      <c r="BC8" s="82">
        <v>2</v>
      </c>
      <c r="BD8" s="82">
        <v>1</v>
      </c>
      <c r="BE8" s="82">
        <v>1</v>
      </c>
      <c r="BF8" s="82">
        <v>4</v>
      </c>
      <c r="BG8" s="82">
        <v>1</v>
      </c>
      <c r="BH8" s="82">
        <v>4</v>
      </c>
      <c r="BI8" s="82">
        <v>4</v>
      </c>
      <c r="BJ8" s="82">
        <v>1</v>
      </c>
      <c r="BK8" s="82">
        <v>2</v>
      </c>
      <c r="BL8" s="82">
        <v>4</v>
      </c>
      <c r="BM8" s="82">
        <v>4</v>
      </c>
      <c r="BN8" s="82">
        <v>4</v>
      </c>
      <c r="BO8" s="82">
        <v>4</v>
      </c>
      <c r="BP8" s="82">
        <v>1</v>
      </c>
      <c r="BQ8" s="82">
        <v>3</v>
      </c>
      <c r="BR8" s="82">
        <v>4</v>
      </c>
      <c r="BS8" s="82">
        <v>4</v>
      </c>
      <c r="BT8" s="82">
        <v>4</v>
      </c>
      <c r="BU8" s="82">
        <v>4</v>
      </c>
      <c r="BV8" s="82">
        <v>1</v>
      </c>
      <c r="BW8" s="82">
        <v>4</v>
      </c>
      <c r="BX8" s="82">
        <v>4</v>
      </c>
      <c r="BY8" s="82">
        <v>1</v>
      </c>
      <c r="BZ8" s="82">
        <v>1</v>
      </c>
      <c r="CA8" s="82">
        <v>1</v>
      </c>
      <c r="CB8" s="82">
        <v>1</v>
      </c>
      <c r="CC8" s="82">
        <v>1</v>
      </c>
      <c r="CD8" s="82">
        <v>4</v>
      </c>
      <c r="CE8" s="82">
        <v>4</v>
      </c>
      <c r="CF8" s="82">
        <v>7</v>
      </c>
      <c r="CG8" s="82">
        <v>1</v>
      </c>
      <c r="CH8" s="82">
        <v>4</v>
      </c>
      <c r="CI8" s="82">
        <v>4</v>
      </c>
      <c r="CJ8" s="82">
        <v>1</v>
      </c>
      <c r="CK8" s="82">
        <v>4</v>
      </c>
      <c r="CL8" s="82">
        <v>1</v>
      </c>
      <c r="CM8" s="82">
        <v>1</v>
      </c>
      <c r="CN8" s="82">
        <v>4</v>
      </c>
      <c r="CO8" s="82">
        <v>1</v>
      </c>
      <c r="CP8" s="82">
        <v>1</v>
      </c>
      <c r="CQ8" s="82">
        <v>4</v>
      </c>
      <c r="CR8" s="82">
        <v>4</v>
      </c>
      <c r="CS8" s="82">
        <v>7</v>
      </c>
      <c r="CT8" s="82">
        <v>7</v>
      </c>
      <c r="CU8" s="82">
        <v>3</v>
      </c>
      <c r="CV8" s="82">
        <v>1</v>
      </c>
      <c r="CW8" s="82">
        <v>7</v>
      </c>
      <c r="CX8" s="82">
        <v>4</v>
      </c>
      <c r="CY8" s="82">
        <v>4</v>
      </c>
      <c r="CZ8" s="82">
        <v>4</v>
      </c>
      <c r="DA8" s="82">
        <v>7</v>
      </c>
      <c r="DB8" s="82">
        <v>1</v>
      </c>
      <c r="DC8" s="82">
        <v>1</v>
      </c>
      <c r="DD8" s="82">
        <v>1</v>
      </c>
      <c r="DE8" s="82">
        <v>1</v>
      </c>
      <c r="DF8" s="82">
        <v>1</v>
      </c>
      <c r="DG8" s="82">
        <v>1</v>
      </c>
      <c r="DH8" s="82">
        <v>4</v>
      </c>
      <c r="DI8" s="82">
        <v>4</v>
      </c>
      <c r="DJ8" s="82">
        <v>1</v>
      </c>
      <c r="DK8" s="82">
        <v>7</v>
      </c>
      <c r="DL8" s="82">
        <v>7</v>
      </c>
      <c r="DM8" s="82">
        <v>4</v>
      </c>
      <c r="DN8" s="82">
        <v>1</v>
      </c>
      <c r="DO8" s="82">
        <v>4</v>
      </c>
      <c r="DP8" s="82">
        <v>1</v>
      </c>
      <c r="DQ8" s="82" t="s">
        <v>310</v>
      </c>
    </row>
    <row r="9" spans="1:121" x14ac:dyDescent="0.2">
      <c r="A9" s="82">
        <v>1342081670</v>
      </c>
      <c r="B9" s="82">
        <v>17670072</v>
      </c>
      <c r="C9" s="83">
        <v>40611.146898148145</v>
      </c>
      <c r="D9" s="83">
        <v>40611.188379629632</v>
      </c>
      <c r="E9" s="82"/>
      <c r="F9" s="82"/>
      <c r="G9" s="82"/>
      <c r="H9" s="82"/>
      <c r="I9" s="82"/>
      <c r="J9" s="82"/>
      <c r="K9" s="82"/>
      <c r="L9" s="82"/>
      <c r="M9" s="82"/>
      <c r="N9" s="82"/>
      <c r="O9" s="82" t="s">
        <v>311</v>
      </c>
      <c r="P9" s="82"/>
      <c r="Q9" s="82"/>
      <c r="R9" s="82"/>
      <c r="S9" s="82"/>
      <c r="T9" s="82"/>
      <c r="U9" s="82">
        <v>4</v>
      </c>
      <c r="V9" s="82">
        <v>3</v>
      </c>
      <c r="W9" s="82">
        <v>7</v>
      </c>
      <c r="X9" s="82">
        <v>4</v>
      </c>
      <c r="Y9" s="82">
        <v>4</v>
      </c>
      <c r="Z9" s="82">
        <v>1</v>
      </c>
      <c r="AA9" s="82">
        <v>4</v>
      </c>
      <c r="AB9" s="82">
        <v>4</v>
      </c>
      <c r="AC9" s="82">
        <v>4</v>
      </c>
      <c r="AD9" s="82">
        <v>4</v>
      </c>
      <c r="AE9" s="82">
        <v>2</v>
      </c>
      <c r="AF9" s="82">
        <v>4</v>
      </c>
      <c r="AG9" s="82">
        <v>5</v>
      </c>
      <c r="AH9" s="82">
        <v>3</v>
      </c>
      <c r="AI9" s="82">
        <v>4</v>
      </c>
      <c r="AJ9" s="82">
        <v>4</v>
      </c>
      <c r="AK9" s="82">
        <v>4</v>
      </c>
      <c r="AL9" s="82">
        <v>4</v>
      </c>
      <c r="AM9" s="82">
        <v>7</v>
      </c>
      <c r="AN9" s="82">
        <v>4</v>
      </c>
      <c r="AO9" s="82">
        <v>4</v>
      </c>
      <c r="AP9" s="82">
        <v>4</v>
      </c>
      <c r="AQ9" s="82">
        <v>4</v>
      </c>
      <c r="AR9" s="82">
        <v>4</v>
      </c>
      <c r="AS9" s="82">
        <v>4</v>
      </c>
      <c r="AT9" s="82">
        <v>4</v>
      </c>
      <c r="AU9" s="82">
        <v>7</v>
      </c>
      <c r="AV9" s="82">
        <v>1</v>
      </c>
      <c r="AW9" s="82">
        <v>4</v>
      </c>
      <c r="AX9" s="82">
        <v>4</v>
      </c>
      <c r="AY9" s="82">
        <v>1</v>
      </c>
      <c r="AZ9" s="82">
        <v>7</v>
      </c>
      <c r="BA9" s="82">
        <v>4</v>
      </c>
      <c r="BB9" s="82">
        <v>4</v>
      </c>
      <c r="BC9" s="82">
        <v>1</v>
      </c>
      <c r="BD9" s="82">
        <v>4</v>
      </c>
      <c r="BE9" s="82">
        <v>4</v>
      </c>
      <c r="BF9" s="82">
        <v>4</v>
      </c>
      <c r="BG9" s="82">
        <v>1</v>
      </c>
      <c r="BH9" s="82">
        <v>4</v>
      </c>
      <c r="BI9" s="82">
        <v>4</v>
      </c>
      <c r="BJ9" s="82">
        <v>4</v>
      </c>
      <c r="BK9" s="82">
        <v>1</v>
      </c>
      <c r="BL9" s="82">
        <v>4</v>
      </c>
      <c r="BM9" s="82">
        <v>4</v>
      </c>
      <c r="BN9" s="82">
        <v>4</v>
      </c>
      <c r="BO9" s="82">
        <v>4</v>
      </c>
      <c r="BP9" s="82">
        <v>7</v>
      </c>
      <c r="BQ9" s="82">
        <v>5</v>
      </c>
      <c r="BR9" s="82">
        <v>1</v>
      </c>
      <c r="BS9" s="82">
        <v>4</v>
      </c>
      <c r="BT9" s="82">
        <v>4</v>
      </c>
      <c r="BU9" s="82">
        <v>4</v>
      </c>
      <c r="BV9" s="82">
        <v>7</v>
      </c>
      <c r="BW9" s="82">
        <v>4</v>
      </c>
      <c r="BX9" s="82">
        <v>4</v>
      </c>
      <c r="BY9" s="82">
        <v>1</v>
      </c>
      <c r="BZ9" s="82">
        <v>4</v>
      </c>
      <c r="CA9" s="82">
        <v>1</v>
      </c>
      <c r="CB9" s="82">
        <v>7</v>
      </c>
      <c r="CC9" s="82">
        <v>1</v>
      </c>
      <c r="CD9" s="82">
        <v>4</v>
      </c>
      <c r="CE9" s="82">
        <v>2</v>
      </c>
      <c r="CF9" s="82">
        <v>4</v>
      </c>
      <c r="CG9" s="82">
        <v>4</v>
      </c>
      <c r="CH9" s="82">
        <v>1</v>
      </c>
      <c r="CI9" s="82">
        <v>4</v>
      </c>
      <c r="CJ9" s="82">
        <v>3</v>
      </c>
      <c r="CK9" s="82">
        <v>1</v>
      </c>
      <c r="CL9" s="82">
        <v>1</v>
      </c>
      <c r="CM9" s="82">
        <v>2</v>
      </c>
      <c r="CN9" s="82">
        <v>7</v>
      </c>
      <c r="CO9" s="82">
        <v>4</v>
      </c>
      <c r="CP9" s="82">
        <v>7</v>
      </c>
      <c r="CQ9" s="82">
        <v>4</v>
      </c>
      <c r="CR9" s="82">
        <v>4</v>
      </c>
      <c r="CS9" s="82">
        <v>7</v>
      </c>
      <c r="CT9" s="82">
        <v>7</v>
      </c>
      <c r="CU9" s="82">
        <v>4</v>
      </c>
      <c r="CV9" s="82">
        <v>1</v>
      </c>
      <c r="CW9" s="82">
        <v>1</v>
      </c>
      <c r="CX9" s="82">
        <v>4</v>
      </c>
      <c r="CY9" s="82">
        <v>4</v>
      </c>
      <c r="CZ9" s="82">
        <v>7</v>
      </c>
      <c r="DA9" s="82">
        <v>7</v>
      </c>
      <c r="DB9" s="82">
        <v>1</v>
      </c>
      <c r="DC9" s="82">
        <v>4</v>
      </c>
      <c r="DD9" s="82">
        <v>1</v>
      </c>
      <c r="DE9" s="82">
        <v>4</v>
      </c>
      <c r="DF9" s="82">
        <v>1</v>
      </c>
      <c r="DG9" s="82">
        <v>4</v>
      </c>
      <c r="DH9" s="82">
        <v>3</v>
      </c>
      <c r="DI9" s="82">
        <v>4</v>
      </c>
      <c r="DJ9" s="82">
        <v>4</v>
      </c>
      <c r="DK9" s="82">
        <v>1</v>
      </c>
      <c r="DL9" s="82">
        <v>1</v>
      </c>
      <c r="DM9" s="82">
        <v>4</v>
      </c>
      <c r="DN9" s="82">
        <v>4</v>
      </c>
      <c r="DO9" s="82">
        <v>4</v>
      </c>
      <c r="DP9" s="82">
        <v>4</v>
      </c>
      <c r="DQ9" s="82" t="s">
        <v>312</v>
      </c>
    </row>
    <row r="10" spans="1:121" x14ac:dyDescent="0.2">
      <c r="A10" s="82">
        <v>1341764285</v>
      </c>
      <c r="B10" s="82">
        <v>17670072</v>
      </c>
      <c r="C10" s="83">
        <v>40610.905648148146</v>
      </c>
      <c r="D10" s="83">
        <v>40610.913321759261</v>
      </c>
      <c r="E10" s="82"/>
      <c r="F10" s="82"/>
      <c r="G10" s="82"/>
      <c r="H10" s="82"/>
      <c r="I10" s="82"/>
      <c r="J10" s="82">
        <v>1</v>
      </c>
      <c r="K10" s="82" t="s">
        <v>313</v>
      </c>
      <c r="L10" s="82" t="s">
        <v>271</v>
      </c>
      <c r="M10" s="82">
        <v>0</v>
      </c>
      <c r="N10" s="82" t="s">
        <v>314</v>
      </c>
      <c r="O10" s="82" t="s">
        <v>273</v>
      </c>
      <c r="P10" s="82"/>
      <c r="Q10" s="82"/>
      <c r="R10" s="82"/>
      <c r="S10" s="82"/>
      <c r="T10" s="82"/>
      <c r="U10" s="82">
        <v>7</v>
      </c>
      <c r="V10" s="82">
        <v>2</v>
      </c>
      <c r="W10" s="82">
        <v>4</v>
      </c>
      <c r="X10" s="82">
        <v>4</v>
      </c>
      <c r="Y10" s="82">
        <v>2</v>
      </c>
      <c r="Z10" s="82">
        <v>1</v>
      </c>
      <c r="AA10" s="82">
        <v>3</v>
      </c>
      <c r="AB10" s="82">
        <v>6</v>
      </c>
      <c r="AC10" s="82">
        <v>7</v>
      </c>
      <c r="AD10" s="82">
        <v>5</v>
      </c>
      <c r="AE10" s="82">
        <v>2</v>
      </c>
      <c r="AF10" s="82">
        <v>6</v>
      </c>
      <c r="AG10" s="82">
        <v>1</v>
      </c>
      <c r="AH10" s="82">
        <v>7</v>
      </c>
      <c r="AI10" s="82">
        <v>7</v>
      </c>
      <c r="AJ10" s="82">
        <v>3</v>
      </c>
      <c r="AK10" s="82">
        <v>7</v>
      </c>
      <c r="AL10" s="82">
        <v>4</v>
      </c>
      <c r="AM10" s="82">
        <v>1</v>
      </c>
      <c r="AN10" s="82">
        <v>3</v>
      </c>
      <c r="AO10" s="82">
        <v>4</v>
      </c>
      <c r="AP10" s="82">
        <v>3</v>
      </c>
      <c r="AQ10" s="82">
        <v>4</v>
      </c>
      <c r="AR10" s="82">
        <v>1</v>
      </c>
      <c r="AS10" s="82">
        <v>4</v>
      </c>
      <c r="AT10" s="82">
        <v>1</v>
      </c>
      <c r="AU10" s="82">
        <v>7</v>
      </c>
      <c r="AV10" s="82">
        <v>1</v>
      </c>
      <c r="AW10" s="82">
        <v>1</v>
      </c>
      <c r="AX10" s="82">
        <v>3</v>
      </c>
      <c r="AY10" s="82">
        <v>4</v>
      </c>
      <c r="AZ10" s="82">
        <v>4</v>
      </c>
      <c r="BA10" s="82">
        <v>2</v>
      </c>
      <c r="BB10" s="82">
        <v>4</v>
      </c>
      <c r="BC10" s="82">
        <v>5</v>
      </c>
      <c r="BD10" s="82">
        <v>1</v>
      </c>
      <c r="BE10" s="82">
        <v>1</v>
      </c>
      <c r="BF10" s="82">
        <v>7</v>
      </c>
      <c r="BG10" s="82">
        <v>1</v>
      </c>
      <c r="BH10" s="82">
        <v>3</v>
      </c>
      <c r="BI10" s="82">
        <v>7</v>
      </c>
      <c r="BJ10" s="82">
        <v>1</v>
      </c>
      <c r="BK10" s="82">
        <v>7</v>
      </c>
      <c r="BL10" s="82">
        <v>1</v>
      </c>
      <c r="BM10" s="82">
        <v>7</v>
      </c>
      <c r="BN10" s="82">
        <v>3</v>
      </c>
      <c r="BO10" s="82">
        <v>7</v>
      </c>
      <c r="BP10" s="82">
        <v>7</v>
      </c>
      <c r="BQ10" s="82">
        <v>3</v>
      </c>
      <c r="BR10" s="82">
        <v>2</v>
      </c>
      <c r="BS10" s="82">
        <v>3</v>
      </c>
      <c r="BT10" s="82">
        <v>4</v>
      </c>
      <c r="BU10" s="82">
        <v>3</v>
      </c>
      <c r="BV10" s="82">
        <v>7</v>
      </c>
      <c r="BW10" s="82">
        <v>7</v>
      </c>
      <c r="BX10" s="82">
        <v>5</v>
      </c>
      <c r="BY10" s="82">
        <v>4</v>
      </c>
      <c r="BZ10" s="82">
        <v>1</v>
      </c>
      <c r="CA10" s="82">
        <v>1</v>
      </c>
      <c r="CB10" s="82">
        <v>6</v>
      </c>
      <c r="CC10" s="82">
        <v>1</v>
      </c>
      <c r="CD10" s="82">
        <v>4</v>
      </c>
      <c r="CE10" s="82">
        <v>5</v>
      </c>
      <c r="CF10" s="82">
        <v>7</v>
      </c>
      <c r="CG10" s="82">
        <v>1</v>
      </c>
      <c r="CH10" s="82">
        <v>2</v>
      </c>
      <c r="CI10" s="82">
        <v>1</v>
      </c>
      <c r="CJ10" s="82">
        <v>5</v>
      </c>
      <c r="CK10" s="82">
        <v>1</v>
      </c>
      <c r="CL10" s="82">
        <v>1</v>
      </c>
      <c r="CM10" s="82">
        <v>1</v>
      </c>
      <c r="CN10" s="82">
        <v>1</v>
      </c>
      <c r="CO10" s="82">
        <v>7</v>
      </c>
      <c r="CP10" s="82">
        <v>7</v>
      </c>
      <c r="CQ10" s="82">
        <v>4</v>
      </c>
      <c r="CR10" s="82">
        <v>7</v>
      </c>
      <c r="CS10" s="82">
        <v>7</v>
      </c>
      <c r="CT10" s="82">
        <v>7</v>
      </c>
      <c r="CU10" s="82">
        <v>6</v>
      </c>
      <c r="CV10" s="82">
        <v>2</v>
      </c>
      <c r="CW10" s="82">
        <v>7</v>
      </c>
      <c r="CX10" s="82">
        <v>6</v>
      </c>
      <c r="CY10" s="82">
        <v>6</v>
      </c>
      <c r="CZ10" s="82">
        <v>7</v>
      </c>
      <c r="DA10" s="82">
        <v>1</v>
      </c>
      <c r="DB10" s="82">
        <v>1</v>
      </c>
      <c r="DC10" s="82">
        <v>1</v>
      </c>
      <c r="DD10" s="82">
        <v>1</v>
      </c>
      <c r="DE10" s="82">
        <v>7</v>
      </c>
      <c r="DF10" s="82">
        <v>1</v>
      </c>
      <c r="DG10" s="82">
        <v>7</v>
      </c>
      <c r="DH10" s="82">
        <v>7</v>
      </c>
      <c r="DI10" s="82">
        <v>4</v>
      </c>
      <c r="DJ10" s="82">
        <v>3</v>
      </c>
      <c r="DK10" s="82">
        <v>7</v>
      </c>
      <c r="DL10" s="82">
        <v>1</v>
      </c>
      <c r="DM10" s="82">
        <v>2</v>
      </c>
      <c r="DN10" s="82">
        <v>1</v>
      </c>
      <c r="DO10" s="82">
        <v>4</v>
      </c>
      <c r="DP10" s="82">
        <v>3</v>
      </c>
      <c r="DQ10" s="82"/>
    </row>
    <row r="11" spans="1:121" x14ac:dyDescent="0.2">
      <c r="A11" s="82">
        <v>1341278658</v>
      </c>
      <c r="B11" s="82">
        <v>17670072</v>
      </c>
      <c r="C11" s="83">
        <v>40610.69290509259</v>
      </c>
      <c r="D11" s="83">
        <v>40610.701724537037</v>
      </c>
      <c r="E11" s="82"/>
      <c r="F11" s="82"/>
      <c r="G11" s="82"/>
      <c r="H11" s="82"/>
      <c r="I11" s="82"/>
      <c r="J11" s="82">
        <v>1</v>
      </c>
      <c r="K11" s="82" t="s">
        <v>315</v>
      </c>
      <c r="L11" s="82" t="s">
        <v>271</v>
      </c>
      <c r="M11" s="82">
        <v>7</v>
      </c>
      <c r="N11" s="82" t="s">
        <v>279</v>
      </c>
      <c r="O11" s="82" t="s">
        <v>269</v>
      </c>
      <c r="P11" s="82"/>
      <c r="Q11" s="82"/>
      <c r="R11" s="82"/>
      <c r="S11" s="82"/>
      <c r="T11" s="82"/>
      <c r="U11" s="82">
        <v>7</v>
      </c>
      <c r="V11" s="82">
        <v>5</v>
      </c>
      <c r="W11" s="82">
        <v>7</v>
      </c>
      <c r="X11" s="82">
        <v>4</v>
      </c>
      <c r="Y11" s="82">
        <v>3</v>
      </c>
      <c r="Z11" s="82">
        <v>2</v>
      </c>
      <c r="AA11" s="82">
        <v>4</v>
      </c>
      <c r="AB11" s="82">
        <v>4</v>
      </c>
      <c r="AC11" s="82">
        <v>5</v>
      </c>
      <c r="AD11" s="82">
        <v>4</v>
      </c>
      <c r="AE11" s="82">
        <v>1</v>
      </c>
      <c r="AF11" s="82">
        <v>4</v>
      </c>
      <c r="AG11" s="82">
        <v>2</v>
      </c>
      <c r="AH11" s="82">
        <v>3</v>
      </c>
      <c r="AI11" s="82">
        <v>4</v>
      </c>
      <c r="AJ11" s="82">
        <v>4</v>
      </c>
      <c r="AK11" s="82">
        <v>6</v>
      </c>
      <c r="AL11" s="82">
        <v>4</v>
      </c>
      <c r="AM11" s="82">
        <v>4</v>
      </c>
      <c r="AN11" s="82">
        <v>4</v>
      </c>
      <c r="AO11" s="82">
        <v>4</v>
      </c>
      <c r="AP11" s="82">
        <v>4</v>
      </c>
      <c r="AQ11" s="82">
        <v>3</v>
      </c>
      <c r="AR11" s="82">
        <v>4</v>
      </c>
      <c r="AS11" s="82">
        <v>4</v>
      </c>
      <c r="AT11" s="82">
        <v>4</v>
      </c>
      <c r="AU11" s="82">
        <v>7</v>
      </c>
      <c r="AV11" s="82">
        <v>2</v>
      </c>
      <c r="AW11" s="82">
        <v>4</v>
      </c>
      <c r="AX11" s="82">
        <v>6</v>
      </c>
      <c r="AY11" s="82">
        <v>2</v>
      </c>
      <c r="AZ11" s="82">
        <v>6</v>
      </c>
      <c r="BA11" s="82">
        <v>2</v>
      </c>
      <c r="BB11" s="82">
        <v>4</v>
      </c>
      <c r="BC11" s="82">
        <v>4</v>
      </c>
      <c r="BD11" s="82">
        <v>1</v>
      </c>
      <c r="BE11" s="82">
        <v>4</v>
      </c>
      <c r="BF11" s="82">
        <v>4</v>
      </c>
      <c r="BG11" s="82">
        <v>2</v>
      </c>
      <c r="BH11" s="82">
        <v>1</v>
      </c>
      <c r="BI11" s="82">
        <v>4</v>
      </c>
      <c r="BJ11" s="82">
        <v>1</v>
      </c>
      <c r="BK11" s="82">
        <v>3</v>
      </c>
      <c r="BL11" s="82">
        <v>4</v>
      </c>
      <c r="BM11" s="82">
        <v>4</v>
      </c>
      <c r="BN11" s="82">
        <v>2</v>
      </c>
      <c r="BO11" s="82">
        <v>4</v>
      </c>
      <c r="BP11" s="82">
        <v>7</v>
      </c>
      <c r="BQ11" s="82">
        <v>4</v>
      </c>
      <c r="BR11" s="82">
        <v>3</v>
      </c>
      <c r="BS11" s="82">
        <v>4</v>
      </c>
      <c r="BT11" s="82">
        <v>3</v>
      </c>
      <c r="BU11" s="82">
        <v>4</v>
      </c>
      <c r="BV11" s="82">
        <v>6</v>
      </c>
      <c r="BW11" s="82">
        <v>6</v>
      </c>
      <c r="BX11" s="82">
        <v>4</v>
      </c>
      <c r="BY11" s="82">
        <v>4</v>
      </c>
      <c r="BZ11" s="82">
        <v>1</v>
      </c>
      <c r="CA11" s="82">
        <v>1</v>
      </c>
      <c r="CB11" s="82">
        <v>7</v>
      </c>
      <c r="CC11" s="82">
        <v>4</v>
      </c>
      <c r="CD11" s="82">
        <v>4</v>
      </c>
      <c r="CE11" s="82">
        <v>3</v>
      </c>
      <c r="CF11" s="82">
        <v>7</v>
      </c>
      <c r="CG11" s="82">
        <v>2</v>
      </c>
      <c r="CH11" s="82">
        <v>2</v>
      </c>
      <c r="CI11" s="82">
        <v>4</v>
      </c>
      <c r="CJ11" s="82">
        <v>4</v>
      </c>
      <c r="CK11" s="82">
        <v>2</v>
      </c>
      <c r="CL11" s="82">
        <v>1</v>
      </c>
      <c r="CM11" s="82">
        <v>1</v>
      </c>
      <c r="CN11" s="82">
        <v>7</v>
      </c>
      <c r="CO11" s="82">
        <v>6</v>
      </c>
      <c r="CP11" s="82">
        <v>4</v>
      </c>
      <c r="CQ11" s="82">
        <v>4</v>
      </c>
      <c r="CR11" s="82">
        <v>4</v>
      </c>
      <c r="CS11" s="82">
        <v>7</v>
      </c>
      <c r="CT11" s="82">
        <v>5</v>
      </c>
      <c r="CU11" s="82">
        <v>4</v>
      </c>
      <c r="CV11" s="82">
        <v>2</v>
      </c>
      <c r="CW11" s="82">
        <v>7</v>
      </c>
      <c r="CX11" s="82">
        <v>4</v>
      </c>
      <c r="CY11" s="82">
        <v>4</v>
      </c>
      <c r="CZ11" s="82">
        <v>4</v>
      </c>
      <c r="DA11" s="82">
        <v>7</v>
      </c>
      <c r="DB11" s="82">
        <v>1</v>
      </c>
      <c r="DC11" s="82">
        <v>4</v>
      </c>
      <c r="DD11" s="82">
        <v>1</v>
      </c>
      <c r="DE11" s="82">
        <v>7</v>
      </c>
      <c r="DF11" s="82">
        <v>2</v>
      </c>
      <c r="DG11" s="82">
        <v>7</v>
      </c>
      <c r="DH11" s="82">
        <v>4</v>
      </c>
      <c r="DI11" s="82">
        <v>4</v>
      </c>
      <c r="DJ11" s="82">
        <v>3</v>
      </c>
      <c r="DK11" s="82">
        <v>5</v>
      </c>
      <c r="DL11" s="82">
        <v>2</v>
      </c>
      <c r="DM11" s="82">
        <v>4</v>
      </c>
      <c r="DN11" s="82">
        <v>2</v>
      </c>
      <c r="DO11" s="82">
        <v>4</v>
      </c>
      <c r="DP11" s="82">
        <v>4</v>
      </c>
      <c r="DQ11" s="82"/>
    </row>
    <row r="12" spans="1:121" x14ac:dyDescent="0.2">
      <c r="A12" s="82">
        <v>1341004675</v>
      </c>
      <c r="B12" s="82">
        <v>17670072</v>
      </c>
      <c r="C12" s="83">
        <v>40610.574189814812</v>
      </c>
      <c r="D12" s="83">
        <v>40610.588148148148</v>
      </c>
      <c r="E12" s="82"/>
      <c r="F12" s="82"/>
      <c r="G12" s="82"/>
      <c r="H12" s="82"/>
      <c r="I12" s="82"/>
      <c r="J12" s="82"/>
      <c r="K12" s="82" t="s">
        <v>316</v>
      </c>
      <c r="L12" s="82" t="s">
        <v>276</v>
      </c>
      <c r="M12" s="82">
        <v>0.5</v>
      </c>
      <c r="N12" s="82" t="s">
        <v>317</v>
      </c>
      <c r="O12" s="82" t="s">
        <v>273</v>
      </c>
      <c r="P12" s="82"/>
      <c r="Q12" s="82"/>
      <c r="R12" s="82"/>
      <c r="S12" s="82"/>
      <c r="T12" s="82"/>
      <c r="U12" s="82">
        <v>4</v>
      </c>
      <c r="V12" s="82">
        <v>2</v>
      </c>
      <c r="W12" s="82">
        <v>7</v>
      </c>
      <c r="X12" s="82">
        <v>3</v>
      </c>
      <c r="Y12" s="82">
        <v>4</v>
      </c>
      <c r="Z12" s="82">
        <v>6</v>
      </c>
      <c r="AA12" s="82">
        <v>4</v>
      </c>
      <c r="AB12" s="82">
        <v>5</v>
      </c>
      <c r="AC12" s="82">
        <v>5</v>
      </c>
      <c r="AD12" s="82">
        <v>4</v>
      </c>
      <c r="AE12" s="82">
        <v>2</v>
      </c>
      <c r="AF12" s="82">
        <v>6</v>
      </c>
      <c r="AG12" s="82">
        <v>6</v>
      </c>
      <c r="AH12" s="82">
        <v>6</v>
      </c>
      <c r="AI12" s="82">
        <v>6</v>
      </c>
      <c r="AJ12" s="82">
        <v>4</v>
      </c>
      <c r="AK12" s="82">
        <v>6</v>
      </c>
      <c r="AL12" s="82">
        <v>4</v>
      </c>
      <c r="AM12" s="82">
        <v>4</v>
      </c>
      <c r="AN12" s="82">
        <v>1</v>
      </c>
      <c r="AO12" s="82">
        <v>4</v>
      </c>
      <c r="AP12" s="82">
        <v>5</v>
      </c>
      <c r="AQ12" s="82">
        <v>4</v>
      </c>
      <c r="AR12" s="82">
        <v>4</v>
      </c>
      <c r="AS12" s="82">
        <v>1</v>
      </c>
      <c r="AT12" s="82">
        <v>4</v>
      </c>
      <c r="AU12" s="82">
        <v>3</v>
      </c>
      <c r="AV12" s="82">
        <v>1</v>
      </c>
      <c r="AW12" s="82">
        <v>3</v>
      </c>
      <c r="AX12" s="82">
        <v>4</v>
      </c>
      <c r="AY12" s="82">
        <v>2</v>
      </c>
      <c r="AZ12" s="82">
        <v>2</v>
      </c>
      <c r="BA12" s="82">
        <v>2</v>
      </c>
      <c r="BB12" s="82">
        <v>4</v>
      </c>
      <c r="BC12" s="82">
        <v>4</v>
      </c>
      <c r="BD12" s="82">
        <v>2</v>
      </c>
      <c r="BE12" s="82">
        <v>4</v>
      </c>
      <c r="BF12" s="82">
        <v>4</v>
      </c>
      <c r="BG12" s="82">
        <v>1</v>
      </c>
      <c r="BH12" s="82">
        <v>2</v>
      </c>
      <c r="BI12" s="82">
        <v>4</v>
      </c>
      <c r="BJ12" s="82">
        <v>4</v>
      </c>
      <c r="BK12" s="82">
        <v>3</v>
      </c>
      <c r="BL12" s="82">
        <v>4</v>
      </c>
      <c r="BM12" s="82">
        <v>4</v>
      </c>
      <c r="BN12" s="82">
        <v>4</v>
      </c>
      <c r="BO12" s="82">
        <v>4</v>
      </c>
      <c r="BP12" s="82">
        <v>7</v>
      </c>
      <c r="BQ12" s="82">
        <v>4</v>
      </c>
      <c r="BR12" s="82">
        <v>4</v>
      </c>
      <c r="BS12" s="82">
        <v>4</v>
      </c>
      <c r="BT12" s="82">
        <v>4</v>
      </c>
      <c r="BU12" s="82">
        <v>4</v>
      </c>
      <c r="BV12" s="82">
        <v>7</v>
      </c>
      <c r="BW12" s="82">
        <v>4</v>
      </c>
      <c r="BX12" s="82">
        <v>4</v>
      </c>
      <c r="BY12" s="82">
        <v>3</v>
      </c>
      <c r="BZ12" s="82">
        <v>2</v>
      </c>
      <c r="CA12" s="82">
        <v>2</v>
      </c>
      <c r="CB12" s="82">
        <v>4</v>
      </c>
      <c r="CC12" s="82">
        <v>4</v>
      </c>
      <c r="CD12" s="82">
        <v>4</v>
      </c>
      <c r="CE12" s="82">
        <v>4</v>
      </c>
      <c r="CF12" s="82">
        <v>7</v>
      </c>
      <c r="CG12" s="82">
        <v>2</v>
      </c>
      <c r="CH12" s="82">
        <v>1</v>
      </c>
      <c r="CI12" s="82">
        <v>4</v>
      </c>
      <c r="CJ12" s="82">
        <v>4</v>
      </c>
      <c r="CK12" s="82">
        <v>3</v>
      </c>
      <c r="CL12" s="82">
        <v>1</v>
      </c>
      <c r="CM12" s="82">
        <v>1</v>
      </c>
      <c r="CN12" s="82">
        <v>2</v>
      </c>
      <c r="CO12" s="82">
        <v>4</v>
      </c>
      <c r="CP12" s="82">
        <v>4</v>
      </c>
      <c r="CQ12" s="82">
        <v>4</v>
      </c>
      <c r="CR12" s="82">
        <v>4</v>
      </c>
      <c r="CS12" s="82">
        <v>7</v>
      </c>
      <c r="CT12" s="82">
        <v>4</v>
      </c>
      <c r="CU12" s="82">
        <v>4</v>
      </c>
      <c r="CV12" s="82">
        <v>3</v>
      </c>
      <c r="CW12" s="82">
        <v>7</v>
      </c>
      <c r="CX12" s="82">
        <v>4</v>
      </c>
      <c r="CY12" s="82">
        <v>4</v>
      </c>
      <c r="CZ12" s="82">
        <v>5</v>
      </c>
      <c r="DA12" s="82">
        <v>7</v>
      </c>
      <c r="DB12" s="82">
        <v>2</v>
      </c>
      <c r="DC12" s="82">
        <v>4</v>
      </c>
      <c r="DD12" s="82">
        <v>1</v>
      </c>
      <c r="DE12" s="82">
        <v>6</v>
      </c>
      <c r="DF12" s="82">
        <v>2</v>
      </c>
      <c r="DG12" s="82">
        <v>7</v>
      </c>
      <c r="DH12" s="82">
        <v>4</v>
      </c>
      <c r="DI12" s="82">
        <v>4</v>
      </c>
      <c r="DJ12" s="82">
        <v>3</v>
      </c>
      <c r="DK12" s="82">
        <v>3</v>
      </c>
      <c r="DL12" s="82">
        <v>1</v>
      </c>
      <c r="DM12" s="82">
        <v>4</v>
      </c>
      <c r="DN12" s="82">
        <v>4</v>
      </c>
      <c r="DO12" s="82">
        <v>4</v>
      </c>
      <c r="DP12" s="82">
        <v>4</v>
      </c>
      <c r="DQ12" s="82"/>
    </row>
    <row r="13" spans="1:121" x14ac:dyDescent="0.2">
      <c r="A13" s="82">
        <v>1340525822</v>
      </c>
      <c r="B13" s="82">
        <v>17670072</v>
      </c>
      <c r="C13" s="83">
        <v>40610.067453703705</v>
      </c>
      <c r="D13" s="83">
        <v>40610.078182870369</v>
      </c>
      <c r="E13" s="82"/>
      <c r="F13" s="82"/>
      <c r="G13" s="82"/>
      <c r="H13" s="82"/>
      <c r="I13" s="82"/>
      <c r="J13" s="82">
        <v>1</v>
      </c>
      <c r="K13" s="82" t="s">
        <v>318</v>
      </c>
      <c r="L13" s="82" t="s">
        <v>319</v>
      </c>
      <c r="M13" s="82">
        <v>0</v>
      </c>
      <c r="N13" s="82" t="s">
        <v>320</v>
      </c>
      <c r="O13" s="82" t="s">
        <v>273</v>
      </c>
      <c r="P13" s="82"/>
      <c r="Q13" s="82"/>
      <c r="R13" s="82"/>
      <c r="S13" s="82"/>
      <c r="T13" s="82"/>
      <c r="U13" s="82">
        <v>7</v>
      </c>
      <c r="V13" s="82">
        <v>3</v>
      </c>
      <c r="W13" s="82">
        <v>6</v>
      </c>
      <c r="X13" s="82">
        <v>4</v>
      </c>
      <c r="Y13" s="82">
        <v>3</v>
      </c>
      <c r="Z13" s="82">
        <v>4</v>
      </c>
      <c r="AA13" s="82">
        <v>4</v>
      </c>
      <c r="AB13" s="82">
        <v>5</v>
      </c>
      <c r="AC13" s="82">
        <v>7</v>
      </c>
      <c r="AD13" s="82">
        <v>7</v>
      </c>
      <c r="AE13" s="82">
        <v>1</v>
      </c>
      <c r="AF13" s="82">
        <v>7</v>
      </c>
      <c r="AG13" s="82">
        <v>1</v>
      </c>
      <c r="AH13" s="82">
        <v>5</v>
      </c>
      <c r="AI13" s="82">
        <v>7</v>
      </c>
      <c r="AJ13" s="82">
        <v>4</v>
      </c>
      <c r="AK13" s="82">
        <v>5</v>
      </c>
      <c r="AL13" s="82">
        <v>4</v>
      </c>
      <c r="AM13" s="82">
        <v>4</v>
      </c>
      <c r="AN13" s="82">
        <v>5</v>
      </c>
      <c r="AO13" s="82">
        <v>4</v>
      </c>
      <c r="AP13" s="82">
        <v>4</v>
      </c>
      <c r="AQ13" s="82">
        <v>4</v>
      </c>
      <c r="AR13" s="82">
        <v>5</v>
      </c>
      <c r="AS13" s="82">
        <v>3</v>
      </c>
      <c r="AT13" s="82">
        <v>4</v>
      </c>
      <c r="AU13" s="82">
        <v>7</v>
      </c>
      <c r="AV13" s="82">
        <v>1</v>
      </c>
      <c r="AW13" s="82">
        <v>2</v>
      </c>
      <c r="AX13" s="82">
        <v>2</v>
      </c>
      <c r="AY13" s="82">
        <v>6</v>
      </c>
      <c r="AZ13" s="82">
        <v>7</v>
      </c>
      <c r="BA13" s="82">
        <v>7</v>
      </c>
      <c r="BB13" s="82">
        <v>4</v>
      </c>
      <c r="BC13" s="82">
        <v>5</v>
      </c>
      <c r="BD13" s="82">
        <v>1</v>
      </c>
      <c r="BE13" s="82">
        <v>3</v>
      </c>
      <c r="BF13" s="82">
        <v>5</v>
      </c>
      <c r="BG13" s="82">
        <v>1</v>
      </c>
      <c r="BH13" s="82">
        <v>1</v>
      </c>
      <c r="BI13" s="82">
        <v>4</v>
      </c>
      <c r="BJ13" s="82">
        <v>1</v>
      </c>
      <c r="BK13" s="82">
        <v>5</v>
      </c>
      <c r="BL13" s="82">
        <v>4</v>
      </c>
      <c r="BM13" s="82">
        <v>4</v>
      </c>
      <c r="BN13" s="82">
        <v>4</v>
      </c>
      <c r="BO13" s="82">
        <v>5</v>
      </c>
      <c r="BP13" s="82">
        <v>7</v>
      </c>
      <c r="BQ13" s="82">
        <v>4</v>
      </c>
      <c r="BR13" s="82">
        <v>4</v>
      </c>
      <c r="BS13" s="82">
        <v>4</v>
      </c>
      <c r="BT13" s="82">
        <v>7</v>
      </c>
      <c r="BU13" s="82">
        <v>4</v>
      </c>
      <c r="BV13" s="82">
        <v>7</v>
      </c>
      <c r="BW13" s="82">
        <v>5</v>
      </c>
      <c r="BX13" s="82">
        <v>4</v>
      </c>
      <c r="BY13" s="82">
        <v>3</v>
      </c>
      <c r="BZ13" s="82">
        <v>1</v>
      </c>
      <c r="CA13" s="82">
        <v>1</v>
      </c>
      <c r="CB13" s="82">
        <v>7</v>
      </c>
      <c r="CC13" s="82">
        <v>5</v>
      </c>
      <c r="CD13" s="82">
        <v>6</v>
      </c>
      <c r="CE13" s="82">
        <v>7</v>
      </c>
      <c r="CF13" s="82">
        <v>7</v>
      </c>
      <c r="CG13" s="82">
        <v>4</v>
      </c>
      <c r="CH13" s="82">
        <v>4</v>
      </c>
      <c r="CI13" s="82">
        <v>4</v>
      </c>
      <c r="CJ13" s="82">
        <v>4</v>
      </c>
      <c r="CK13" s="82">
        <v>1</v>
      </c>
      <c r="CL13" s="82">
        <v>1</v>
      </c>
      <c r="CM13" s="82">
        <v>1</v>
      </c>
      <c r="CN13" s="82">
        <v>7</v>
      </c>
      <c r="CO13" s="82">
        <v>7</v>
      </c>
      <c r="CP13" s="82">
        <v>7</v>
      </c>
      <c r="CQ13" s="82">
        <v>4</v>
      </c>
      <c r="CR13" s="82">
        <v>4</v>
      </c>
      <c r="CS13" s="82">
        <v>7</v>
      </c>
      <c r="CT13" s="82">
        <v>7</v>
      </c>
      <c r="CU13" s="82">
        <v>4</v>
      </c>
      <c r="CV13" s="82">
        <v>1</v>
      </c>
      <c r="CW13" s="82">
        <v>7</v>
      </c>
      <c r="CX13" s="82">
        <v>4</v>
      </c>
      <c r="CY13" s="82">
        <v>1</v>
      </c>
      <c r="CZ13" s="82">
        <v>7</v>
      </c>
      <c r="DA13" s="82">
        <v>7</v>
      </c>
      <c r="DB13" s="82">
        <v>1</v>
      </c>
      <c r="DC13" s="82">
        <v>4</v>
      </c>
      <c r="DD13" s="82">
        <v>1</v>
      </c>
      <c r="DE13" s="82">
        <v>5</v>
      </c>
      <c r="DF13" s="82">
        <v>1</v>
      </c>
      <c r="DG13" s="82">
        <v>4</v>
      </c>
      <c r="DH13" s="82">
        <v>4</v>
      </c>
      <c r="DI13" s="82">
        <v>4</v>
      </c>
      <c r="DJ13" s="82">
        <v>5</v>
      </c>
      <c r="DK13" s="82">
        <v>4</v>
      </c>
      <c r="DL13" s="82">
        <v>1</v>
      </c>
      <c r="DM13" s="82">
        <v>4</v>
      </c>
      <c r="DN13" s="82">
        <v>3</v>
      </c>
      <c r="DO13" s="82">
        <v>4</v>
      </c>
      <c r="DP13" s="82">
        <v>4</v>
      </c>
      <c r="DQ13" s="82"/>
    </row>
    <row r="14" spans="1:121" x14ac:dyDescent="0.2">
      <c r="A14" s="82">
        <v>1340515216</v>
      </c>
      <c r="B14" s="82">
        <v>17670072</v>
      </c>
      <c r="C14" s="83">
        <v>40610.057962962965</v>
      </c>
      <c r="D14" s="83">
        <v>40610.074374999997</v>
      </c>
      <c r="E14" s="82"/>
      <c r="F14" s="82"/>
      <c r="G14" s="82"/>
      <c r="H14" s="82"/>
      <c r="I14" s="82"/>
      <c r="J14" s="82"/>
      <c r="K14" s="82" t="s">
        <v>321</v>
      </c>
      <c r="L14" s="82" t="s">
        <v>322</v>
      </c>
      <c r="M14" s="82">
        <v>0</v>
      </c>
      <c r="N14" s="82" t="s">
        <v>323</v>
      </c>
      <c r="O14" s="82" t="s">
        <v>324</v>
      </c>
      <c r="P14" s="82"/>
      <c r="Q14" s="82"/>
      <c r="R14" s="82"/>
      <c r="S14" s="82"/>
      <c r="T14" s="82"/>
      <c r="U14" s="82">
        <v>2</v>
      </c>
      <c r="V14" s="82">
        <v>1</v>
      </c>
      <c r="W14" s="82">
        <v>4</v>
      </c>
      <c r="X14" s="82">
        <v>3</v>
      </c>
      <c r="Y14" s="82">
        <v>1</v>
      </c>
      <c r="Z14" s="82">
        <v>7</v>
      </c>
      <c r="AA14" s="82">
        <v>4</v>
      </c>
      <c r="AB14" s="82">
        <v>5</v>
      </c>
      <c r="AC14" s="82">
        <v>1</v>
      </c>
      <c r="AD14" s="82">
        <v>4</v>
      </c>
      <c r="AE14" s="82">
        <v>3</v>
      </c>
      <c r="AF14" s="82">
        <v>7</v>
      </c>
      <c r="AG14" s="82">
        <v>1</v>
      </c>
      <c r="AH14" s="82">
        <v>7</v>
      </c>
      <c r="AI14" s="82">
        <v>7</v>
      </c>
      <c r="AJ14" s="82">
        <v>4</v>
      </c>
      <c r="AK14" s="82">
        <v>1</v>
      </c>
      <c r="AL14" s="82">
        <v>1</v>
      </c>
      <c r="AM14" s="82">
        <v>3</v>
      </c>
      <c r="AN14" s="82">
        <v>2</v>
      </c>
      <c r="AO14" s="82">
        <v>3</v>
      </c>
      <c r="AP14" s="82">
        <v>4</v>
      </c>
      <c r="AQ14" s="82">
        <v>4</v>
      </c>
      <c r="AR14" s="82">
        <v>6</v>
      </c>
      <c r="AS14" s="82">
        <v>1</v>
      </c>
      <c r="AT14" s="82">
        <v>4</v>
      </c>
      <c r="AU14" s="82">
        <v>7</v>
      </c>
      <c r="AV14" s="82">
        <v>1</v>
      </c>
      <c r="AW14" s="82">
        <v>1</v>
      </c>
      <c r="AX14" s="82">
        <v>2</v>
      </c>
      <c r="AY14" s="82">
        <v>1</v>
      </c>
      <c r="AZ14" s="82">
        <v>1</v>
      </c>
      <c r="BA14" s="82">
        <v>1</v>
      </c>
      <c r="BB14" s="82">
        <v>3</v>
      </c>
      <c r="BC14" s="82">
        <v>6</v>
      </c>
      <c r="BD14" s="82">
        <v>1</v>
      </c>
      <c r="BE14" s="82">
        <v>4</v>
      </c>
      <c r="BF14" s="82">
        <v>6</v>
      </c>
      <c r="BG14" s="82">
        <v>1</v>
      </c>
      <c r="BH14" s="82">
        <v>1</v>
      </c>
      <c r="BI14" s="82">
        <v>3</v>
      </c>
      <c r="BJ14" s="82">
        <v>1</v>
      </c>
      <c r="BK14" s="82">
        <v>2</v>
      </c>
      <c r="BL14" s="82">
        <v>7</v>
      </c>
      <c r="BM14" s="82">
        <v>4</v>
      </c>
      <c r="BN14" s="82">
        <v>3</v>
      </c>
      <c r="BO14" s="82">
        <v>7</v>
      </c>
      <c r="BP14" s="82">
        <v>7</v>
      </c>
      <c r="BQ14" s="82">
        <v>2</v>
      </c>
      <c r="BR14" s="82">
        <v>7</v>
      </c>
      <c r="BS14" s="82">
        <v>4</v>
      </c>
      <c r="BT14" s="82">
        <v>1</v>
      </c>
      <c r="BU14" s="82">
        <v>4</v>
      </c>
      <c r="BV14" s="82">
        <v>7</v>
      </c>
      <c r="BW14" s="82">
        <v>5</v>
      </c>
      <c r="BX14" s="82">
        <v>6</v>
      </c>
      <c r="BY14" s="82">
        <v>1</v>
      </c>
      <c r="BZ14" s="82">
        <v>1</v>
      </c>
      <c r="CA14" s="82">
        <v>1</v>
      </c>
      <c r="CB14" s="82">
        <v>7</v>
      </c>
      <c r="CC14" s="82">
        <v>1</v>
      </c>
      <c r="CD14" s="82">
        <v>4</v>
      </c>
      <c r="CE14" s="82">
        <v>3</v>
      </c>
      <c r="CF14" s="82">
        <v>7</v>
      </c>
      <c r="CG14" s="82">
        <v>6</v>
      </c>
      <c r="CH14" s="82">
        <v>3</v>
      </c>
      <c r="CI14" s="82">
        <v>4</v>
      </c>
      <c r="CJ14" s="82">
        <v>6</v>
      </c>
      <c r="CK14" s="82">
        <v>1</v>
      </c>
      <c r="CL14" s="82">
        <v>1</v>
      </c>
      <c r="CM14" s="82">
        <v>1</v>
      </c>
      <c r="CN14" s="82">
        <v>7</v>
      </c>
      <c r="CO14" s="82">
        <v>7</v>
      </c>
      <c r="CP14" s="82">
        <v>7</v>
      </c>
      <c r="CQ14" s="82">
        <v>2</v>
      </c>
      <c r="CR14" s="82">
        <v>4</v>
      </c>
      <c r="CS14" s="82">
        <v>7</v>
      </c>
      <c r="CT14" s="82">
        <v>7</v>
      </c>
      <c r="CU14" s="82">
        <v>6</v>
      </c>
      <c r="CV14" s="82">
        <v>7</v>
      </c>
      <c r="CW14" s="82">
        <v>1</v>
      </c>
      <c r="CX14" s="82">
        <v>5</v>
      </c>
      <c r="CY14" s="82">
        <v>4</v>
      </c>
      <c r="CZ14" s="82">
        <v>5</v>
      </c>
      <c r="DA14" s="82">
        <v>7</v>
      </c>
      <c r="DB14" s="82">
        <v>1</v>
      </c>
      <c r="DC14" s="82">
        <v>7</v>
      </c>
      <c r="DD14" s="82">
        <v>1</v>
      </c>
      <c r="DE14" s="82">
        <v>2</v>
      </c>
      <c r="DF14" s="82">
        <v>1</v>
      </c>
      <c r="DG14" s="82">
        <v>7</v>
      </c>
      <c r="DH14" s="82">
        <v>2</v>
      </c>
      <c r="DI14" s="82">
        <v>2</v>
      </c>
      <c r="DJ14" s="82">
        <v>2</v>
      </c>
      <c r="DK14" s="82">
        <v>6</v>
      </c>
      <c r="DL14" s="82">
        <v>1</v>
      </c>
      <c r="DM14" s="82">
        <v>1</v>
      </c>
      <c r="DN14" s="82">
        <v>2</v>
      </c>
      <c r="DO14" s="82">
        <v>6</v>
      </c>
      <c r="DP14" s="82">
        <v>4</v>
      </c>
      <c r="DQ14" s="82"/>
    </row>
    <row r="15" spans="1:121" x14ac:dyDescent="0.2">
      <c r="A15" s="82">
        <v>1340512343</v>
      </c>
      <c r="B15" s="82">
        <v>17670072</v>
      </c>
      <c r="C15" s="83">
        <v>40610.055717592593</v>
      </c>
      <c r="D15" s="83">
        <v>40610.075983796298</v>
      </c>
      <c r="E15" s="82"/>
      <c r="F15" s="82"/>
      <c r="G15" s="82"/>
      <c r="H15" s="82"/>
      <c r="I15" s="82"/>
      <c r="J15" s="82">
        <v>2</v>
      </c>
      <c r="K15" s="82" t="s">
        <v>325</v>
      </c>
      <c r="L15" s="82" t="s">
        <v>326</v>
      </c>
      <c r="M15" s="82">
        <v>2</v>
      </c>
      <c r="N15" s="82" t="s">
        <v>327</v>
      </c>
      <c r="O15" s="82" t="s">
        <v>269</v>
      </c>
      <c r="P15" s="82"/>
      <c r="Q15" s="82"/>
      <c r="R15" s="82"/>
      <c r="S15" s="82"/>
      <c r="T15" s="82"/>
      <c r="U15" s="82">
        <v>4</v>
      </c>
      <c r="V15" s="82">
        <v>5</v>
      </c>
      <c r="W15" s="82">
        <v>7</v>
      </c>
      <c r="X15" s="82">
        <v>3</v>
      </c>
      <c r="Y15" s="82">
        <v>1</v>
      </c>
      <c r="Z15" s="82">
        <v>1</v>
      </c>
      <c r="AA15" s="82">
        <v>4</v>
      </c>
      <c r="AB15" s="82">
        <v>4</v>
      </c>
      <c r="AC15" s="82">
        <v>5</v>
      </c>
      <c r="AD15" s="82">
        <v>4</v>
      </c>
      <c r="AE15" s="82">
        <v>1</v>
      </c>
      <c r="AF15" s="82">
        <v>7</v>
      </c>
      <c r="AG15" s="82">
        <v>6</v>
      </c>
      <c r="AH15" s="82">
        <v>7</v>
      </c>
      <c r="AI15" s="82">
        <v>7</v>
      </c>
      <c r="AJ15" s="82">
        <v>7</v>
      </c>
      <c r="AK15" s="82">
        <v>4</v>
      </c>
      <c r="AL15" s="82">
        <v>4</v>
      </c>
      <c r="AM15" s="82">
        <v>7</v>
      </c>
      <c r="AN15" s="82">
        <v>1</v>
      </c>
      <c r="AO15" s="82">
        <v>4</v>
      </c>
      <c r="AP15" s="82">
        <v>4</v>
      </c>
      <c r="AQ15" s="82">
        <v>4</v>
      </c>
      <c r="AR15" s="82">
        <v>6</v>
      </c>
      <c r="AS15" s="82">
        <v>3</v>
      </c>
      <c r="AT15" s="82">
        <v>4</v>
      </c>
      <c r="AU15" s="82">
        <v>7</v>
      </c>
      <c r="AV15" s="82">
        <v>1</v>
      </c>
      <c r="AW15" s="82">
        <v>5</v>
      </c>
      <c r="AX15" s="82">
        <v>4</v>
      </c>
      <c r="AY15" s="82">
        <v>7</v>
      </c>
      <c r="AZ15" s="82">
        <v>7</v>
      </c>
      <c r="BA15" s="82">
        <v>1</v>
      </c>
      <c r="BB15" s="82">
        <v>6</v>
      </c>
      <c r="BC15" s="82">
        <v>7</v>
      </c>
      <c r="BD15" s="82">
        <v>1</v>
      </c>
      <c r="BE15" s="82">
        <v>1</v>
      </c>
      <c r="BF15" s="82">
        <v>4</v>
      </c>
      <c r="BG15" s="82">
        <v>3</v>
      </c>
      <c r="BH15" s="82">
        <v>3</v>
      </c>
      <c r="BI15" s="82">
        <v>4</v>
      </c>
      <c r="BJ15" s="82">
        <v>4</v>
      </c>
      <c r="BK15" s="82">
        <v>3</v>
      </c>
      <c r="BL15" s="82">
        <v>4</v>
      </c>
      <c r="BM15" s="82">
        <v>3</v>
      </c>
      <c r="BN15" s="82">
        <v>2</v>
      </c>
      <c r="BO15" s="82">
        <v>6</v>
      </c>
      <c r="BP15" s="82">
        <v>7</v>
      </c>
      <c r="BQ15" s="82">
        <v>4</v>
      </c>
      <c r="BR15" s="82">
        <v>7</v>
      </c>
      <c r="BS15" s="82">
        <v>5</v>
      </c>
      <c r="BT15" s="82">
        <v>4</v>
      </c>
      <c r="BU15" s="82">
        <v>4</v>
      </c>
      <c r="BV15" s="82">
        <v>2</v>
      </c>
      <c r="BW15" s="82">
        <v>4</v>
      </c>
      <c r="BX15" s="82">
        <v>5</v>
      </c>
      <c r="BY15" s="82">
        <v>1</v>
      </c>
      <c r="BZ15" s="82">
        <v>1</v>
      </c>
      <c r="CA15" s="82">
        <v>6</v>
      </c>
      <c r="CB15" s="82">
        <v>4</v>
      </c>
      <c r="CC15" s="82">
        <v>3</v>
      </c>
      <c r="CD15" s="82">
        <v>4</v>
      </c>
      <c r="CE15" s="82">
        <v>4</v>
      </c>
      <c r="CF15" s="82">
        <v>3</v>
      </c>
      <c r="CG15" s="82">
        <v>2</v>
      </c>
      <c r="CH15" s="82">
        <v>4</v>
      </c>
      <c r="CI15" s="82">
        <v>6</v>
      </c>
      <c r="CJ15" s="82">
        <v>3</v>
      </c>
      <c r="CK15" s="82">
        <v>1</v>
      </c>
      <c r="CL15" s="82">
        <v>1</v>
      </c>
      <c r="CM15" s="82">
        <v>1</v>
      </c>
      <c r="CN15" s="82">
        <v>4</v>
      </c>
      <c r="CO15" s="82">
        <v>4</v>
      </c>
      <c r="CP15" s="82">
        <v>7</v>
      </c>
      <c r="CQ15" s="82">
        <v>4</v>
      </c>
      <c r="CR15" s="82">
        <v>4</v>
      </c>
      <c r="CS15" s="82">
        <v>7</v>
      </c>
      <c r="CT15" s="82">
        <v>4</v>
      </c>
      <c r="CU15" s="82">
        <v>7</v>
      </c>
      <c r="CV15" s="82">
        <v>4</v>
      </c>
      <c r="CW15" s="82">
        <v>7</v>
      </c>
      <c r="CX15" s="82">
        <v>7</v>
      </c>
      <c r="CY15" s="82">
        <v>7</v>
      </c>
      <c r="CZ15" s="82">
        <v>4</v>
      </c>
      <c r="DA15" s="82">
        <v>7</v>
      </c>
      <c r="DB15" s="82">
        <v>1</v>
      </c>
      <c r="DC15" s="82">
        <v>2</v>
      </c>
      <c r="DD15" s="82">
        <v>4</v>
      </c>
      <c r="DE15" s="82">
        <v>3</v>
      </c>
      <c r="DF15" s="82">
        <v>4</v>
      </c>
      <c r="DG15" s="82">
        <v>4</v>
      </c>
      <c r="DH15" s="82">
        <v>5</v>
      </c>
      <c r="DI15" s="82">
        <v>4</v>
      </c>
      <c r="DJ15" s="82">
        <v>3</v>
      </c>
      <c r="DK15" s="82">
        <v>1</v>
      </c>
      <c r="DL15" s="82">
        <v>1</v>
      </c>
      <c r="DM15" s="82">
        <v>4</v>
      </c>
      <c r="DN15" s="82">
        <v>6</v>
      </c>
      <c r="DO15" s="82">
        <v>7</v>
      </c>
      <c r="DP15" s="82">
        <v>4</v>
      </c>
      <c r="DQ15" s="82"/>
    </row>
    <row r="16" spans="1:121" x14ac:dyDescent="0.2">
      <c r="A16" s="82">
        <v>1340338191</v>
      </c>
      <c r="B16" s="82">
        <v>17670072</v>
      </c>
      <c r="C16" s="83">
        <v>40609.93650462963</v>
      </c>
      <c r="D16" s="83">
        <v>40609.945763888885</v>
      </c>
      <c r="E16" s="82"/>
      <c r="F16" s="82"/>
      <c r="G16" s="82"/>
      <c r="H16" s="82"/>
      <c r="I16" s="82"/>
      <c r="J16" s="82">
        <v>1</v>
      </c>
      <c r="K16" s="84" t="s">
        <v>328</v>
      </c>
      <c r="L16" s="82"/>
      <c r="M16" s="82"/>
      <c r="N16" s="82"/>
      <c r="O16" s="82" t="s">
        <v>269</v>
      </c>
      <c r="P16" s="82"/>
      <c r="Q16" s="82"/>
      <c r="R16" s="82"/>
      <c r="S16" s="82"/>
      <c r="T16" s="82"/>
      <c r="U16" s="82">
        <v>7</v>
      </c>
      <c r="V16" s="82">
        <v>1</v>
      </c>
      <c r="W16" s="82">
        <v>7</v>
      </c>
      <c r="X16" s="82">
        <v>3</v>
      </c>
      <c r="Y16" s="82">
        <v>1</v>
      </c>
      <c r="Z16" s="82">
        <v>1</v>
      </c>
      <c r="AA16" s="82">
        <v>4</v>
      </c>
      <c r="AB16" s="82">
        <v>6</v>
      </c>
      <c r="AC16" s="82">
        <v>7</v>
      </c>
      <c r="AD16" s="82">
        <v>4</v>
      </c>
      <c r="AE16" s="82">
        <v>1</v>
      </c>
      <c r="AF16" s="82">
        <v>7</v>
      </c>
      <c r="AG16" s="82">
        <v>1</v>
      </c>
      <c r="AH16" s="82">
        <v>7</v>
      </c>
      <c r="AI16" s="82">
        <v>7</v>
      </c>
      <c r="AJ16" s="82">
        <v>4</v>
      </c>
      <c r="AK16" s="82">
        <v>3</v>
      </c>
      <c r="AL16" s="82">
        <v>3</v>
      </c>
      <c r="AM16" s="82">
        <v>1</v>
      </c>
      <c r="AN16" s="82">
        <v>1</v>
      </c>
      <c r="AO16" s="82">
        <v>4</v>
      </c>
      <c r="AP16" s="82">
        <v>4</v>
      </c>
      <c r="AQ16" s="82">
        <v>4</v>
      </c>
      <c r="AR16" s="82">
        <v>1</v>
      </c>
      <c r="AS16" s="82">
        <v>1</v>
      </c>
      <c r="AT16" s="82">
        <v>4</v>
      </c>
      <c r="AU16" s="82">
        <v>7</v>
      </c>
      <c r="AV16" s="82">
        <v>1</v>
      </c>
      <c r="AW16" s="82">
        <v>1</v>
      </c>
      <c r="AX16" s="82">
        <v>2</v>
      </c>
      <c r="AY16" s="82">
        <v>7</v>
      </c>
      <c r="AZ16" s="82">
        <v>7</v>
      </c>
      <c r="BA16" s="82">
        <v>7</v>
      </c>
      <c r="BB16" s="82">
        <v>4</v>
      </c>
      <c r="BC16" s="82">
        <v>7</v>
      </c>
      <c r="BD16" s="82">
        <v>1</v>
      </c>
      <c r="BE16" s="82">
        <v>1</v>
      </c>
      <c r="BF16" s="82">
        <v>7</v>
      </c>
      <c r="BG16" s="82">
        <v>1</v>
      </c>
      <c r="BH16" s="82">
        <v>1</v>
      </c>
      <c r="BI16" s="82">
        <v>7</v>
      </c>
      <c r="BJ16" s="82">
        <v>1</v>
      </c>
      <c r="BK16" s="82">
        <v>1</v>
      </c>
      <c r="BL16" s="82">
        <v>3</v>
      </c>
      <c r="BM16" s="82">
        <v>4</v>
      </c>
      <c r="BN16" s="82">
        <v>4</v>
      </c>
      <c r="BO16" s="82">
        <v>4</v>
      </c>
      <c r="BP16" s="82">
        <v>7</v>
      </c>
      <c r="BQ16" s="82">
        <v>3</v>
      </c>
      <c r="BR16" s="82">
        <v>6</v>
      </c>
      <c r="BS16" s="82">
        <v>2</v>
      </c>
      <c r="BT16" s="82">
        <v>7</v>
      </c>
      <c r="BU16" s="82">
        <v>4</v>
      </c>
      <c r="BV16" s="82">
        <v>7</v>
      </c>
      <c r="BW16" s="82">
        <v>6</v>
      </c>
      <c r="BX16" s="82">
        <v>4</v>
      </c>
      <c r="BY16" s="82">
        <v>1</v>
      </c>
      <c r="BZ16" s="82">
        <v>1</v>
      </c>
      <c r="CA16" s="82">
        <v>1</v>
      </c>
      <c r="CB16" s="82">
        <v>7</v>
      </c>
      <c r="CC16" s="82">
        <v>1</v>
      </c>
      <c r="CD16" s="82">
        <v>4</v>
      </c>
      <c r="CE16" s="82">
        <v>6</v>
      </c>
      <c r="CF16" s="82">
        <v>7</v>
      </c>
      <c r="CG16" s="82">
        <v>1</v>
      </c>
      <c r="CH16" s="82">
        <v>1</v>
      </c>
      <c r="CI16" s="82">
        <v>2</v>
      </c>
      <c r="CJ16" s="82">
        <v>7</v>
      </c>
      <c r="CK16" s="82">
        <v>1</v>
      </c>
      <c r="CL16" s="82">
        <v>1</v>
      </c>
      <c r="CM16" s="82">
        <v>1</v>
      </c>
      <c r="CN16" s="82">
        <v>7</v>
      </c>
      <c r="CO16" s="82">
        <v>7</v>
      </c>
      <c r="CP16" s="82">
        <v>7</v>
      </c>
      <c r="CQ16" s="82">
        <v>3</v>
      </c>
      <c r="CR16" s="82">
        <v>4</v>
      </c>
      <c r="CS16" s="82">
        <v>7</v>
      </c>
      <c r="CT16" s="82">
        <v>7</v>
      </c>
      <c r="CU16" s="82">
        <v>6</v>
      </c>
      <c r="CV16" s="82">
        <v>1</v>
      </c>
      <c r="CW16" s="82">
        <v>7</v>
      </c>
      <c r="CX16" s="82">
        <v>7</v>
      </c>
      <c r="CY16" s="82">
        <v>7</v>
      </c>
      <c r="CZ16" s="82">
        <v>7</v>
      </c>
      <c r="DA16" s="82">
        <v>7</v>
      </c>
      <c r="DB16" s="82">
        <v>1</v>
      </c>
      <c r="DC16" s="82">
        <v>1</v>
      </c>
      <c r="DD16" s="82">
        <v>1</v>
      </c>
      <c r="DE16" s="82">
        <v>7</v>
      </c>
      <c r="DF16" s="82">
        <v>1</v>
      </c>
      <c r="DG16" s="82">
        <v>7</v>
      </c>
      <c r="DH16" s="82">
        <v>4</v>
      </c>
      <c r="DI16" s="82">
        <v>1</v>
      </c>
      <c r="DJ16" s="82">
        <v>3</v>
      </c>
      <c r="DK16" s="82">
        <v>1</v>
      </c>
      <c r="DL16" s="82">
        <v>1</v>
      </c>
      <c r="DM16" s="82">
        <v>1</v>
      </c>
      <c r="DN16" s="82">
        <v>1</v>
      </c>
      <c r="DO16" s="82">
        <v>4</v>
      </c>
      <c r="DP16" s="82">
        <v>4</v>
      </c>
      <c r="DQ16" s="82"/>
    </row>
    <row r="17" spans="1:121" x14ac:dyDescent="0.2">
      <c r="A17" s="82">
        <v>1338671690</v>
      </c>
      <c r="B17" s="82">
        <v>17670072</v>
      </c>
      <c r="C17" s="83">
        <v>40608.644270833334</v>
      </c>
      <c r="D17" s="83">
        <v>40608.657569444447</v>
      </c>
      <c r="E17" s="82"/>
      <c r="F17" s="82"/>
      <c r="G17" s="82"/>
      <c r="H17" s="82"/>
      <c r="I17" s="82"/>
      <c r="J17" s="82">
        <v>1</v>
      </c>
      <c r="K17" s="82" t="s">
        <v>329</v>
      </c>
      <c r="L17" s="82" t="s">
        <v>330</v>
      </c>
      <c r="M17" s="82">
        <v>5</v>
      </c>
      <c r="N17" s="82" t="s">
        <v>331</v>
      </c>
      <c r="O17" s="82" t="s">
        <v>125</v>
      </c>
      <c r="P17" s="82"/>
      <c r="Q17" s="82"/>
      <c r="R17" s="82"/>
      <c r="S17" s="82"/>
      <c r="T17" s="82"/>
      <c r="U17" s="82">
        <v>4</v>
      </c>
      <c r="V17" s="82">
        <v>3</v>
      </c>
      <c r="W17" s="82">
        <v>7</v>
      </c>
      <c r="X17" s="82">
        <v>4</v>
      </c>
      <c r="Y17" s="82">
        <v>1</v>
      </c>
      <c r="Z17" s="82">
        <v>1</v>
      </c>
      <c r="AA17" s="82">
        <v>4</v>
      </c>
      <c r="AB17" s="82">
        <v>4</v>
      </c>
      <c r="AC17" s="82">
        <v>7</v>
      </c>
      <c r="AD17" s="82">
        <v>4</v>
      </c>
      <c r="AE17" s="82">
        <v>2</v>
      </c>
      <c r="AF17" s="82">
        <v>4</v>
      </c>
      <c r="AG17" s="82">
        <v>1</v>
      </c>
      <c r="AH17" s="82">
        <v>7</v>
      </c>
      <c r="AI17" s="82">
        <v>7</v>
      </c>
      <c r="AJ17" s="82">
        <v>4</v>
      </c>
      <c r="AK17" s="82">
        <v>5</v>
      </c>
      <c r="AL17" s="82">
        <v>4</v>
      </c>
      <c r="AM17" s="82">
        <v>6</v>
      </c>
      <c r="AN17" s="82">
        <v>3</v>
      </c>
      <c r="AO17" s="82">
        <v>4</v>
      </c>
      <c r="AP17" s="82">
        <v>4</v>
      </c>
      <c r="AQ17" s="82">
        <v>4</v>
      </c>
      <c r="AR17" s="82">
        <v>4</v>
      </c>
      <c r="AS17" s="82">
        <v>2</v>
      </c>
      <c r="AT17" s="82">
        <v>4</v>
      </c>
      <c r="AU17" s="82">
        <v>7</v>
      </c>
      <c r="AV17" s="82">
        <v>1</v>
      </c>
      <c r="AW17" s="82">
        <v>1</v>
      </c>
      <c r="AX17" s="82">
        <v>4</v>
      </c>
      <c r="AY17" s="82">
        <v>3</v>
      </c>
      <c r="AZ17" s="82">
        <v>7</v>
      </c>
      <c r="BA17" s="82">
        <v>1</v>
      </c>
      <c r="BB17" s="82">
        <v>4</v>
      </c>
      <c r="BC17" s="82">
        <v>2</v>
      </c>
      <c r="BD17" s="82">
        <v>1</v>
      </c>
      <c r="BE17" s="82">
        <v>5</v>
      </c>
      <c r="BF17" s="82">
        <v>5</v>
      </c>
      <c r="BG17" s="82">
        <v>3</v>
      </c>
      <c r="BH17" s="82">
        <v>1</v>
      </c>
      <c r="BI17" s="82">
        <v>4</v>
      </c>
      <c r="BJ17" s="82">
        <v>1</v>
      </c>
      <c r="BK17" s="82">
        <v>1</v>
      </c>
      <c r="BL17" s="82">
        <v>1</v>
      </c>
      <c r="BM17" s="82">
        <v>4</v>
      </c>
      <c r="BN17" s="82">
        <v>4</v>
      </c>
      <c r="BO17" s="82">
        <v>5</v>
      </c>
      <c r="BP17" s="82">
        <v>7</v>
      </c>
      <c r="BQ17" s="82">
        <v>4</v>
      </c>
      <c r="BR17" s="82">
        <v>4</v>
      </c>
      <c r="BS17" s="82">
        <v>4</v>
      </c>
      <c r="BT17" s="82">
        <v>7</v>
      </c>
      <c r="BU17" s="82">
        <v>4</v>
      </c>
      <c r="BV17" s="82">
        <v>1</v>
      </c>
      <c r="BW17" s="82">
        <v>4</v>
      </c>
      <c r="BX17" s="82">
        <v>4</v>
      </c>
      <c r="BY17" s="82">
        <v>3</v>
      </c>
      <c r="BZ17" s="82">
        <v>1</v>
      </c>
      <c r="CA17" s="82">
        <v>1</v>
      </c>
      <c r="CB17" s="82">
        <v>4</v>
      </c>
      <c r="CC17" s="82">
        <v>1</v>
      </c>
      <c r="CD17" s="82">
        <v>4</v>
      </c>
      <c r="CE17" s="82">
        <v>4</v>
      </c>
      <c r="CF17" s="82">
        <v>7</v>
      </c>
      <c r="CG17" s="82">
        <v>3</v>
      </c>
      <c r="CH17" s="82">
        <v>4</v>
      </c>
      <c r="CI17" s="82">
        <v>4</v>
      </c>
      <c r="CJ17" s="82">
        <v>5</v>
      </c>
      <c r="CK17" s="82">
        <v>1</v>
      </c>
      <c r="CL17" s="82">
        <v>1</v>
      </c>
      <c r="CM17" s="82">
        <v>1</v>
      </c>
      <c r="CN17" s="82">
        <v>7</v>
      </c>
      <c r="CO17" s="82">
        <v>7</v>
      </c>
      <c r="CP17" s="82">
        <v>4</v>
      </c>
      <c r="CQ17" s="82">
        <v>4</v>
      </c>
      <c r="CR17" s="82">
        <v>5</v>
      </c>
      <c r="CS17" s="82">
        <v>7</v>
      </c>
      <c r="CT17" s="82">
        <v>7</v>
      </c>
      <c r="CU17" s="82">
        <v>4</v>
      </c>
      <c r="CV17" s="82">
        <v>1</v>
      </c>
      <c r="CW17" s="82">
        <v>7</v>
      </c>
      <c r="CX17" s="82">
        <v>4</v>
      </c>
      <c r="CY17" s="82">
        <v>2</v>
      </c>
      <c r="CZ17" s="82">
        <v>4</v>
      </c>
      <c r="DA17" s="82">
        <v>7</v>
      </c>
      <c r="DB17" s="82">
        <v>1</v>
      </c>
      <c r="DC17" s="82">
        <v>4</v>
      </c>
      <c r="DD17" s="82">
        <v>1</v>
      </c>
      <c r="DE17" s="82">
        <v>4</v>
      </c>
      <c r="DF17" s="82">
        <v>1</v>
      </c>
      <c r="DG17" s="82">
        <v>7</v>
      </c>
      <c r="DH17" s="82">
        <v>4</v>
      </c>
      <c r="DI17" s="82">
        <v>1</v>
      </c>
      <c r="DJ17" s="82">
        <v>5</v>
      </c>
      <c r="DK17" s="82">
        <v>2</v>
      </c>
      <c r="DL17" s="82">
        <v>1</v>
      </c>
      <c r="DM17" s="82">
        <v>5</v>
      </c>
      <c r="DN17" s="82">
        <v>4</v>
      </c>
      <c r="DO17" s="82">
        <v>4</v>
      </c>
      <c r="DP17" s="82">
        <v>3</v>
      </c>
      <c r="DQ17" s="82"/>
    </row>
    <row r="18" spans="1:121" x14ac:dyDescent="0.2">
      <c r="A18" s="82">
        <v>1336561716</v>
      </c>
      <c r="B18" s="82">
        <v>17670072</v>
      </c>
      <c r="C18" s="83">
        <v>40606.648194444446</v>
      </c>
      <c r="D18" s="83">
        <v>40606.661400462966</v>
      </c>
      <c r="E18" s="82"/>
      <c r="F18" s="82"/>
      <c r="G18" s="82"/>
      <c r="H18" s="82"/>
      <c r="I18" s="82"/>
      <c r="J18" s="82">
        <v>2</v>
      </c>
      <c r="K18" s="82" t="s">
        <v>332</v>
      </c>
      <c r="L18" s="82" t="s">
        <v>333</v>
      </c>
      <c r="M18" s="82">
        <v>13</v>
      </c>
      <c r="N18" s="82" t="s">
        <v>334</v>
      </c>
      <c r="O18" s="82" t="s">
        <v>269</v>
      </c>
      <c r="P18" s="82"/>
      <c r="Q18" s="82"/>
      <c r="R18" s="82"/>
      <c r="S18" s="82"/>
      <c r="T18" s="82"/>
      <c r="U18" s="82">
        <v>6</v>
      </c>
      <c r="V18" s="82">
        <v>2</v>
      </c>
      <c r="W18" s="82">
        <v>6</v>
      </c>
      <c r="X18" s="82">
        <v>4</v>
      </c>
      <c r="Y18" s="82">
        <v>1</v>
      </c>
      <c r="Z18" s="82">
        <v>2</v>
      </c>
      <c r="AA18" s="82">
        <v>4</v>
      </c>
      <c r="AB18" s="82">
        <v>4</v>
      </c>
      <c r="AC18" s="82">
        <v>6</v>
      </c>
      <c r="AD18" s="82">
        <v>4</v>
      </c>
      <c r="AE18" s="82">
        <v>2</v>
      </c>
      <c r="AF18" s="82">
        <v>6</v>
      </c>
      <c r="AG18" s="82">
        <v>2</v>
      </c>
      <c r="AH18" s="82">
        <v>3</v>
      </c>
      <c r="AI18" s="82">
        <v>6</v>
      </c>
      <c r="AJ18" s="82">
        <v>4</v>
      </c>
      <c r="AK18" s="82">
        <v>4</v>
      </c>
      <c r="AL18" s="82">
        <v>4</v>
      </c>
      <c r="AM18" s="82">
        <v>5</v>
      </c>
      <c r="AN18" s="82">
        <v>5</v>
      </c>
      <c r="AO18" s="82">
        <v>4</v>
      </c>
      <c r="AP18" s="82">
        <v>4</v>
      </c>
      <c r="AQ18" s="82">
        <v>4</v>
      </c>
      <c r="AR18" s="82">
        <v>5</v>
      </c>
      <c r="AS18" s="82">
        <v>2</v>
      </c>
      <c r="AT18" s="82">
        <v>4</v>
      </c>
      <c r="AU18" s="82">
        <v>6</v>
      </c>
      <c r="AV18" s="82">
        <v>1</v>
      </c>
      <c r="AW18" s="82">
        <v>2</v>
      </c>
      <c r="AX18" s="82">
        <v>4</v>
      </c>
      <c r="AY18" s="82">
        <v>2</v>
      </c>
      <c r="AZ18" s="82">
        <v>7</v>
      </c>
      <c r="BA18" s="82">
        <v>1</v>
      </c>
      <c r="BB18" s="82">
        <v>4</v>
      </c>
      <c r="BC18" s="82">
        <v>3</v>
      </c>
      <c r="BD18" s="82">
        <v>1</v>
      </c>
      <c r="BE18" s="82">
        <v>5</v>
      </c>
      <c r="BF18" s="82">
        <v>5</v>
      </c>
      <c r="BG18" s="82">
        <v>2</v>
      </c>
      <c r="BH18" s="82">
        <v>2</v>
      </c>
      <c r="BI18" s="82">
        <v>4</v>
      </c>
      <c r="BJ18" s="82">
        <v>2</v>
      </c>
      <c r="BK18" s="82">
        <v>5</v>
      </c>
      <c r="BL18" s="82">
        <v>5</v>
      </c>
      <c r="BM18" s="82">
        <v>6</v>
      </c>
      <c r="BN18" s="82">
        <v>3</v>
      </c>
      <c r="BO18" s="82">
        <v>4</v>
      </c>
      <c r="BP18" s="82">
        <v>7</v>
      </c>
      <c r="BQ18" s="82">
        <v>4</v>
      </c>
      <c r="BR18" s="82">
        <v>4</v>
      </c>
      <c r="BS18" s="82">
        <v>3</v>
      </c>
      <c r="BT18" s="82">
        <v>7</v>
      </c>
      <c r="BU18" s="82">
        <v>3</v>
      </c>
      <c r="BV18" s="82">
        <v>7</v>
      </c>
      <c r="BW18" s="82">
        <v>6</v>
      </c>
      <c r="BX18" s="82">
        <v>6</v>
      </c>
      <c r="BY18" s="82">
        <v>2</v>
      </c>
      <c r="BZ18" s="82">
        <v>1</v>
      </c>
      <c r="CA18" s="82">
        <v>1</v>
      </c>
      <c r="CB18" s="82">
        <v>4</v>
      </c>
      <c r="CC18" s="82">
        <v>6</v>
      </c>
      <c r="CD18" s="82">
        <v>4</v>
      </c>
      <c r="CE18" s="82">
        <v>4</v>
      </c>
      <c r="CF18" s="82">
        <v>7</v>
      </c>
      <c r="CG18" s="82">
        <v>2</v>
      </c>
      <c r="CH18" s="82">
        <v>4</v>
      </c>
      <c r="CI18" s="82">
        <v>2</v>
      </c>
      <c r="CJ18" s="82">
        <v>2</v>
      </c>
      <c r="CK18" s="82">
        <v>2</v>
      </c>
      <c r="CL18" s="82">
        <v>1</v>
      </c>
      <c r="CM18" s="82">
        <v>1</v>
      </c>
      <c r="CN18" s="82">
        <v>4</v>
      </c>
      <c r="CO18" s="82">
        <v>6</v>
      </c>
      <c r="CP18" s="82">
        <v>7</v>
      </c>
      <c r="CQ18" s="82">
        <v>4</v>
      </c>
      <c r="CR18" s="82">
        <v>3</v>
      </c>
      <c r="CS18" s="82">
        <v>7</v>
      </c>
      <c r="CT18" s="82">
        <v>7</v>
      </c>
      <c r="CU18" s="82">
        <v>5</v>
      </c>
      <c r="CV18" s="82">
        <v>2</v>
      </c>
      <c r="CW18" s="82">
        <v>7</v>
      </c>
      <c r="CX18" s="82">
        <v>5</v>
      </c>
      <c r="CY18" s="82">
        <v>4</v>
      </c>
      <c r="CZ18" s="82">
        <v>7</v>
      </c>
      <c r="DA18" s="82">
        <v>7</v>
      </c>
      <c r="DB18" s="82">
        <v>2</v>
      </c>
      <c r="DC18" s="82">
        <v>4</v>
      </c>
      <c r="DD18" s="82">
        <v>2</v>
      </c>
      <c r="DE18" s="82">
        <v>7</v>
      </c>
      <c r="DF18" s="82">
        <v>1</v>
      </c>
      <c r="DG18" s="82">
        <v>7</v>
      </c>
      <c r="DH18" s="82">
        <v>3</v>
      </c>
      <c r="DI18" s="82">
        <v>4</v>
      </c>
      <c r="DJ18" s="82">
        <v>4</v>
      </c>
      <c r="DK18" s="82">
        <v>2</v>
      </c>
      <c r="DL18" s="82">
        <v>1</v>
      </c>
      <c r="DM18" s="82">
        <v>2</v>
      </c>
      <c r="DN18" s="82">
        <v>4</v>
      </c>
      <c r="DO18" s="82">
        <v>4</v>
      </c>
      <c r="DP18" s="82">
        <v>4</v>
      </c>
      <c r="DQ18" s="82"/>
    </row>
    <row r="19" spans="1:121" x14ac:dyDescent="0.2">
      <c r="A19" s="82">
        <v>1333097488</v>
      </c>
      <c r="B19" s="82">
        <v>17670072</v>
      </c>
      <c r="C19" s="83">
        <v>40604.777048611111</v>
      </c>
      <c r="D19" s="83">
        <v>40604.795775462961</v>
      </c>
      <c r="E19" s="82"/>
      <c r="F19" s="82"/>
      <c r="G19" s="82"/>
      <c r="H19" s="82"/>
      <c r="I19" s="82"/>
      <c r="J19" s="82"/>
      <c r="K19" s="82"/>
      <c r="L19" s="82" t="s">
        <v>271</v>
      </c>
      <c r="M19" s="82">
        <v>13</v>
      </c>
      <c r="N19" s="82" t="s">
        <v>272</v>
      </c>
      <c r="O19" s="82" t="s">
        <v>273</v>
      </c>
      <c r="P19" s="82"/>
      <c r="Q19" s="82"/>
      <c r="R19" s="82"/>
      <c r="S19" s="82"/>
      <c r="T19" s="82"/>
      <c r="U19" s="82">
        <v>7</v>
      </c>
      <c r="V19" s="82">
        <v>2</v>
      </c>
      <c r="W19" s="82">
        <v>6</v>
      </c>
      <c r="X19" s="82">
        <v>3</v>
      </c>
      <c r="Y19" s="82">
        <v>2</v>
      </c>
      <c r="Z19" s="82">
        <v>2</v>
      </c>
      <c r="AA19" s="82">
        <v>4</v>
      </c>
      <c r="AB19" s="82">
        <v>4</v>
      </c>
      <c r="AC19" s="82">
        <v>4</v>
      </c>
      <c r="AD19" s="82">
        <v>4</v>
      </c>
      <c r="AE19" s="82">
        <v>2</v>
      </c>
      <c r="AF19" s="82">
        <v>4</v>
      </c>
      <c r="AG19" s="82">
        <v>2</v>
      </c>
      <c r="AH19" s="82">
        <v>3</v>
      </c>
      <c r="AI19" s="82">
        <v>6</v>
      </c>
      <c r="AJ19" s="82">
        <v>3</v>
      </c>
      <c r="AK19" s="82">
        <v>3</v>
      </c>
      <c r="AL19" s="82">
        <v>4</v>
      </c>
      <c r="AM19" s="82">
        <v>4</v>
      </c>
      <c r="AN19" s="82">
        <v>4</v>
      </c>
      <c r="AO19" s="82">
        <v>4</v>
      </c>
      <c r="AP19" s="82">
        <v>4</v>
      </c>
      <c r="AQ19" s="82">
        <v>4</v>
      </c>
      <c r="AR19" s="82">
        <v>4</v>
      </c>
      <c r="AS19" s="82">
        <v>4</v>
      </c>
      <c r="AT19" s="82">
        <v>4</v>
      </c>
      <c r="AU19" s="82">
        <v>6</v>
      </c>
      <c r="AV19" s="82">
        <v>1</v>
      </c>
      <c r="AW19" s="82">
        <v>4</v>
      </c>
      <c r="AX19" s="82">
        <v>4</v>
      </c>
      <c r="AY19" s="82">
        <v>3</v>
      </c>
      <c r="AZ19" s="82">
        <v>3</v>
      </c>
      <c r="BA19" s="82">
        <v>2</v>
      </c>
      <c r="BB19" s="82">
        <v>4</v>
      </c>
      <c r="BC19" s="82">
        <v>4</v>
      </c>
      <c r="BD19" s="82">
        <v>2</v>
      </c>
      <c r="BE19" s="82">
        <v>4</v>
      </c>
      <c r="BF19" s="82">
        <v>3</v>
      </c>
      <c r="BG19" s="82">
        <v>4</v>
      </c>
      <c r="BH19" s="82">
        <v>1</v>
      </c>
      <c r="BI19" s="82">
        <v>4</v>
      </c>
      <c r="BJ19" s="82">
        <v>1</v>
      </c>
      <c r="BK19" s="82">
        <v>2</v>
      </c>
      <c r="BL19" s="82">
        <v>3</v>
      </c>
      <c r="BM19" s="82">
        <v>4</v>
      </c>
      <c r="BN19" s="82">
        <v>3</v>
      </c>
      <c r="BO19" s="82">
        <v>3</v>
      </c>
      <c r="BP19" s="82">
        <v>7</v>
      </c>
      <c r="BQ19" s="82">
        <v>4</v>
      </c>
      <c r="BR19" s="82">
        <v>5</v>
      </c>
      <c r="BS19" s="82">
        <v>4</v>
      </c>
      <c r="BT19" s="82">
        <v>4</v>
      </c>
      <c r="BU19" s="82">
        <v>4</v>
      </c>
      <c r="BV19" s="82">
        <v>5</v>
      </c>
      <c r="BW19" s="82">
        <v>4</v>
      </c>
      <c r="BX19" s="82">
        <v>4</v>
      </c>
      <c r="BY19" s="82">
        <v>2</v>
      </c>
      <c r="BZ19" s="82">
        <v>1</v>
      </c>
      <c r="CA19" s="82">
        <v>1</v>
      </c>
      <c r="CB19" s="82">
        <v>4</v>
      </c>
      <c r="CC19" s="82">
        <v>1</v>
      </c>
      <c r="CD19" s="82">
        <v>4</v>
      </c>
      <c r="CE19" s="82">
        <v>4</v>
      </c>
      <c r="CF19" s="82">
        <v>7</v>
      </c>
      <c r="CG19" s="82">
        <v>2</v>
      </c>
      <c r="CH19" s="82">
        <v>4</v>
      </c>
      <c r="CI19" s="82">
        <v>4</v>
      </c>
      <c r="CJ19" s="82">
        <v>3</v>
      </c>
      <c r="CK19" s="82">
        <v>1</v>
      </c>
      <c r="CL19" s="82">
        <v>1</v>
      </c>
      <c r="CM19" s="82">
        <v>1</v>
      </c>
      <c r="CN19" s="82">
        <v>3</v>
      </c>
      <c r="CO19" s="82">
        <v>4</v>
      </c>
      <c r="CP19" s="82">
        <v>7</v>
      </c>
      <c r="CQ19" s="82">
        <v>5</v>
      </c>
      <c r="CR19" s="82">
        <v>4</v>
      </c>
      <c r="CS19" s="82">
        <v>4</v>
      </c>
      <c r="CT19" s="82">
        <v>4</v>
      </c>
      <c r="CU19" s="82">
        <v>3</v>
      </c>
      <c r="CV19" s="82">
        <v>1</v>
      </c>
      <c r="CW19" s="82">
        <v>7</v>
      </c>
      <c r="CX19" s="82">
        <v>4</v>
      </c>
      <c r="CY19" s="82">
        <v>3</v>
      </c>
      <c r="CZ19" s="82">
        <v>4</v>
      </c>
      <c r="DA19" s="82">
        <v>7</v>
      </c>
      <c r="DB19" s="82">
        <v>1</v>
      </c>
      <c r="DC19" s="82">
        <v>4</v>
      </c>
      <c r="DD19" s="82">
        <v>1</v>
      </c>
      <c r="DE19" s="82">
        <v>7</v>
      </c>
      <c r="DF19" s="82">
        <v>1</v>
      </c>
      <c r="DG19" s="82">
        <v>7</v>
      </c>
      <c r="DH19" s="82">
        <v>3</v>
      </c>
      <c r="DI19" s="82">
        <v>6</v>
      </c>
      <c r="DJ19" s="82">
        <v>4</v>
      </c>
      <c r="DK19" s="82">
        <v>5</v>
      </c>
      <c r="DL19" s="82">
        <v>1</v>
      </c>
      <c r="DM19" s="82">
        <v>4</v>
      </c>
      <c r="DN19" s="82">
        <v>2</v>
      </c>
      <c r="DO19" s="82">
        <v>4</v>
      </c>
      <c r="DP19" s="82">
        <v>4</v>
      </c>
      <c r="DQ19" s="82" t="s">
        <v>274</v>
      </c>
    </row>
    <row r="20" spans="1:121" x14ac:dyDescent="0.2">
      <c r="A20" s="82">
        <v>1332727246</v>
      </c>
      <c r="B20" s="82">
        <v>17670072</v>
      </c>
      <c r="C20" s="83">
        <v>40604.613125000003</v>
      </c>
      <c r="D20" s="83">
        <v>40604.622453703705</v>
      </c>
      <c r="E20" s="82"/>
      <c r="F20" s="82"/>
      <c r="G20" s="82"/>
      <c r="H20" s="82"/>
      <c r="I20" s="82"/>
      <c r="J20" s="82">
        <v>1</v>
      </c>
      <c r="K20" s="82" t="s">
        <v>275</v>
      </c>
      <c r="L20" s="82" t="s">
        <v>276</v>
      </c>
      <c r="M20" s="82">
        <v>0</v>
      </c>
      <c r="N20" s="82" t="s">
        <v>277</v>
      </c>
      <c r="O20" s="82" t="s">
        <v>269</v>
      </c>
      <c r="P20" s="82"/>
      <c r="Q20" s="82"/>
      <c r="R20" s="82"/>
      <c r="S20" s="82"/>
      <c r="T20" s="82"/>
      <c r="U20" s="82">
        <v>7</v>
      </c>
      <c r="V20" s="82">
        <v>3</v>
      </c>
      <c r="W20" s="82">
        <v>5</v>
      </c>
      <c r="X20" s="82">
        <v>4</v>
      </c>
      <c r="Y20" s="82">
        <v>1</v>
      </c>
      <c r="Z20" s="82">
        <v>1</v>
      </c>
      <c r="AA20" s="82">
        <v>4</v>
      </c>
      <c r="AB20" s="82">
        <v>5</v>
      </c>
      <c r="AC20" s="82">
        <v>7</v>
      </c>
      <c r="AD20" s="82">
        <v>4</v>
      </c>
      <c r="AE20" s="82">
        <v>2</v>
      </c>
      <c r="AF20" s="82">
        <v>7</v>
      </c>
      <c r="AG20" s="82">
        <v>1</v>
      </c>
      <c r="AH20" s="82">
        <v>1</v>
      </c>
      <c r="AI20" s="82">
        <v>7</v>
      </c>
      <c r="AJ20" s="82">
        <v>4</v>
      </c>
      <c r="AK20" s="82">
        <v>5</v>
      </c>
      <c r="AL20" s="82">
        <v>4</v>
      </c>
      <c r="AM20" s="82">
        <v>6</v>
      </c>
      <c r="AN20" s="82">
        <v>3</v>
      </c>
      <c r="AO20" s="82">
        <v>4</v>
      </c>
      <c r="AP20" s="82">
        <v>4</v>
      </c>
      <c r="AQ20" s="82">
        <v>4</v>
      </c>
      <c r="AR20" s="82">
        <v>5</v>
      </c>
      <c r="AS20" s="82">
        <v>4</v>
      </c>
      <c r="AT20" s="82">
        <v>4</v>
      </c>
      <c r="AU20" s="82">
        <v>7</v>
      </c>
      <c r="AV20" s="82">
        <v>3</v>
      </c>
      <c r="AW20" s="82">
        <v>3</v>
      </c>
      <c r="AX20" s="82">
        <v>4</v>
      </c>
      <c r="AY20" s="82">
        <v>4</v>
      </c>
      <c r="AZ20" s="82">
        <v>7</v>
      </c>
      <c r="BA20" s="82">
        <v>2</v>
      </c>
      <c r="BB20" s="82">
        <v>4</v>
      </c>
      <c r="BC20" s="82">
        <v>7</v>
      </c>
      <c r="BD20" s="82">
        <v>1</v>
      </c>
      <c r="BE20" s="82">
        <v>2</v>
      </c>
      <c r="BF20" s="82">
        <v>5</v>
      </c>
      <c r="BG20" s="82">
        <v>2</v>
      </c>
      <c r="BH20" s="82">
        <v>1</v>
      </c>
      <c r="BI20" s="82">
        <v>3</v>
      </c>
      <c r="BJ20" s="82">
        <v>1</v>
      </c>
      <c r="BK20" s="82">
        <v>1</v>
      </c>
      <c r="BL20" s="82">
        <v>4</v>
      </c>
      <c r="BM20" s="82">
        <v>5</v>
      </c>
      <c r="BN20" s="82">
        <v>4</v>
      </c>
      <c r="BO20" s="82">
        <v>2</v>
      </c>
      <c r="BP20" s="82">
        <v>7</v>
      </c>
      <c r="BQ20" s="82">
        <v>4</v>
      </c>
      <c r="BR20" s="82">
        <v>6</v>
      </c>
      <c r="BS20" s="82">
        <v>4</v>
      </c>
      <c r="BT20" s="82">
        <v>7</v>
      </c>
      <c r="BU20" s="82">
        <v>4</v>
      </c>
      <c r="BV20" s="82">
        <v>7</v>
      </c>
      <c r="BW20" s="82">
        <v>4</v>
      </c>
      <c r="BX20" s="82">
        <v>4</v>
      </c>
      <c r="BY20" s="82">
        <v>4</v>
      </c>
      <c r="BZ20" s="82">
        <v>1</v>
      </c>
      <c r="CA20" s="82">
        <v>1</v>
      </c>
      <c r="CB20" s="82">
        <v>7</v>
      </c>
      <c r="CC20" s="82">
        <v>4</v>
      </c>
      <c r="CD20" s="82">
        <v>4</v>
      </c>
      <c r="CE20" s="82">
        <v>4</v>
      </c>
      <c r="CF20" s="82">
        <v>7</v>
      </c>
      <c r="CG20" s="82">
        <v>1</v>
      </c>
      <c r="CH20" s="82">
        <v>2</v>
      </c>
      <c r="CI20" s="82">
        <v>5</v>
      </c>
      <c r="CJ20" s="82">
        <v>6</v>
      </c>
      <c r="CK20" s="82">
        <v>1</v>
      </c>
      <c r="CL20" s="82">
        <v>1</v>
      </c>
      <c r="CM20" s="82">
        <v>1</v>
      </c>
      <c r="CN20" s="82">
        <v>1</v>
      </c>
      <c r="CO20" s="82">
        <v>4</v>
      </c>
      <c r="CP20" s="82">
        <v>7</v>
      </c>
      <c r="CQ20" s="82">
        <v>4</v>
      </c>
      <c r="CR20" s="82">
        <v>4</v>
      </c>
      <c r="CS20" s="82">
        <v>7</v>
      </c>
      <c r="CT20" s="82">
        <v>7</v>
      </c>
      <c r="CU20" s="82">
        <v>4</v>
      </c>
      <c r="CV20" s="82">
        <v>1</v>
      </c>
      <c r="CW20" s="82">
        <v>7</v>
      </c>
      <c r="CX20" s="82">
        <v>4</v>
      </c>
      <c r="CY20" s="82">
        <v>4</v>
      </c>
      <c r="CZ20" s="82">
        <v>4</v>
      </c>
      <c r="DA20" s="82">
        <v>1</v>
      </c>
      <c r="DB20" s="82">
        <v>1</v>
      </c>
      <c r="DC20" s="82">
        <v>4</v>
      </c>
      <c r="DD20" s="82">
        <v>1</v>
      </c>
      <c r="DE20" s="82">
        <v>7</v>
      </c>
      <c r="DF20" s="82">
        <v>1</v>
      </c>
      <c r="DG20" s="82">
        <v>7</v>
      </c>
      <c r="DH20" s="82">
        <v>4</v>
      </c>
      <c r="DI20" s="82">
        <v>4</v>
      </c>
      <c r="DJ20" s="82">
        <v>4</v>
      </c>
      <c r="DK20" s="82">
        <v>2</v>
      </c>
      <c r="DL20" s="82">
        <v>1</v>
      </c>
      <c r="DM20" s="82">
        <v>6</v>
      </c>
      <c r="DN20" s="82">
        <v>3</v>
      </c>
      <c r="DO20" s="82">
        <v>5</v>
      </c>
      <c r="DP20" s="82">
        <v>4</v>
      </c>
      <c r="DQ20" s="82" t="s">
        <v>275</v>
      </c>
    </row>
    <row r="21" spans="1:121" x14ac:dyDescent="0.2">
      <c r="A21" s="82">
        <v>1331197215</v>
      </c>
      <c r="B21" s="82">
        <v>17670072</v>
      </c>
      <c r="C21" s="83">
        <v>40603.578379629631</v>
      </c>
      <c r="D21" s="83">
        <v>40603.588993055557</v>
      </c>
      <c r="E21" s="82"/>
      <c r="F21" s="82"/>
      <c r="G21" s="82"/>
      <c r="H21" s="82"/>
      <c r="I21" s="82"/>
      <c r="J21" s="82">
        <v>1</v>
      </c>
      <c r="K21" s="82" t="s">
        <v>278</v>
      </c>
      <c r="L21" s="82" t="s">
        <v>271</v>
      </c>
      <c r="M21" s="82">
        <v>22</v>
      </c>
      <c r="N21" s="82" t="s">
        <v>279</v>
      </c>
      <c r="O21" s="82" t="s">
        <v>273</v>
      </c>
      <c r="P21" s="82"/>
      <c r="Q21" s="82"/>
      <c r="R21" s="82"/>
      <c r="S21" s="82"/>
      <c r="T21" s="82"/>
      <c r="U21" s="82">
        <v>6</v>
      </c>
      <c r="V21" s="82">
        <v>3</v>
      </c>
      <c r="W21" s="82">
        <v>7</v>
      </c>
      <c r="X21" s="82">
        <v>4</v>
      </c>
      <c r="Y21" s="82">
        <v>1</v>
      </c>
      <c r="Z21" s="82">
        <v>1</v>
      </c>
      <c r="AA21" s="82">
        <v>4</v>
      </c>
      <c r="AB21" s="82">
        <v>4</v>
      </c>
      <c r="AC21" s="82">
        <v>7</v>
      </c>
      <c r="AD21" s="82">
        <v>5</v>
      </c>
      <c r="AE21" s="82">
        <v>1</v>
      </c>
      <c r="AF21" s="82">
        <v>7</v>
      </c>
      <c r="AG21" s="82">
        <v>1</v>
      </c>
      <c r="AH21" s="82">
        <v>7</v>
      </c>
      <c r="AI21" s="82">
        <v>7</v>
      </c>
      <c r="AJ21" s="82">
        <v>4</v>
      </c>
      <c r="AK21" s="82">
        <v>6</v>
      </c>
      <c r="AL21" s="82">
        <v>4</v>
      </c>
      <c r="AM21" s="82">
        <v>4</v>
      </c>
      <c r="AN21" s="82">
        <v>1</v>
      </c>
      <c r="AO21" s="82">
        <v>4</v>
      </c>
      <c r="AP21" s="82">
        <v>4</v>
      </c>
      <c r="AQ21" s="82">
        <v>4</v>
      </c>
      <c r="AR21" s="82">
        <v>5</v>
      </c>
      <c r="AS21" s="82">
        <v>1</v>
      </c>
      <c r="AT21" s="82">
        <v>2</v>
      </c>
      <c r="AU21" s="82">
        <v>7</v>
      </c>
      <c r="AV21" s="82">
        <v>2</v>
      </c>
      <c r="AW21" s="82">
        <v>1</v>
      </c>
      <c r="AX21" s="82">
        <v>3</v>
      </c>
      <c r="AY21" s="82">
        <v>6</v>
      </c>
      <c r="AZ21" s="82">
        <v>7</v>
      </c>
      <c r="BA21" s="82">
        <v>1</v>
      </c>
      <c r="BB21" s="82">
        <v>4</v>
      </c>
      <c r="BC21" s="82">
        <v>4</v>
      </c>
      <c r="BD21" s="82">
        <v>1</v>
      </c>
      <c r="BE21" s="82">
        <v>1</v>
      </c>
      <c r="BF21" s="82">
        <v>5</v>
      </c>
      <c r="BG21" s="82">
        <v>1</v>
      </c>
      <c r="BH21" s="82">
        <v>1</v>
      </c>
      <c r="BI21" s="82">
        <v>4</v>
      </c>
      <c r="BJ21" s="82">
        <v>1</v>
      </c>
      <c r="BK21" s="82">
        <v>6</v>
      </c>
      <c r="BL21" s="82">
        <v>4</v>
      </c>
      <c r="BM21" s="82">
        <v>5</v>
      </c>
      <c r="BN21" s="82">
        <v>4</v>
      </c>
      <c r="BO21" s="82">
        <v>4</v>
      </c>
      <c r="BP21" s="82">
        <v>7</v>
      </c>
      <c r="BQ21" s="82">
        <v>4</v>
      </c>
      <c r="BR21" s="82">
        <v>6</v>
      </c>
      <c r="BS21" s="82">
        <v>4</v>
      </c>
      <c r="BT21" s="82">
        <v>7</v>
      </c>
      <c r="BU21" s="82">
        <v>4</v>
      </c>
      <c r="BV21" s="82">
        <v>7</v>
      </c>
      <c r="BW21" s="82">
        <v>6</v>
      </c>
      <c r="BX21" s="82">
        <v>4</v>
      </c>
      <c r="BY21" s="82">
        <v>2</v>
      </c>
      <c r="BZ21" s="82">
        <v>1</v>
      </c>
      <c r="CA21" s="82">
        <v>2</v>
      </c>
      <c r="CB21" s="82">
        <v>7</v>
      </c>
      <c r="CC21" s="82">
        <v>2</v>
      </c>
      <c r="CD21" s="82">
        <v>4</v>
      </c>
      <c r="CE21" s="82">
        <v>6</v>
      </c>
      <c r="CF21" s="82">
        <v>7</v>
      </c>
      <c r="CG21" s="82">
        <v>2</v>
      </c>
      <c r="CH21" s="82">
        <v>1</v>
      </c>
      <c r="CI21" s="82">
        <v>4</v>
      </c>
      <c r="CJ21" s="82">
        <v>5</v>
      </c>
      <c r="CK21" s="82">
        <v>1</v>
      </c>
      <c r="CL21" s="82">
        <v>1</v>
      </c>
      <c r="CM21" s="82">
        <v>2</v>
      </c>
      <c r="CN21" s="82">
        <v>6</v>
      </c>
      <c r="CO21" s="82">
        <v>7</v>
      </c>
      <c r="CP21" s="82">
        <v>7</v>
      </c>
      <c r="CQ21" s="82">
        <v>4</v>
      </c>
      <c r="CR21" s="82">
        <v>4</v>
      </c>
      <c r="CS21" s="82">
        <v>6</v>
      </c>
      <c r="CT21" s="82">
        <v>7</v>
      </c>
      <c r="CU21" s="82">
        <v>4</v>
      </c>
      <c r="CV21" s="82">
        <v>2</v>
      </c>
      <c r="CW21" s="82">
        <v>7</v>
      </c>
      <c r="CX21" s="82">
        <v>3</v>
      </c>
      <c r="CY21" s="82">
        <v>6</v>
      </c>
      <c r="CZ21" s="82">
        <v>5</v>
      </c>
      <c r="DA21" s="82">
        <v>7</v>
      </c>
      <c r="DB21" s="82">
        <v>2</v>
      </c>
      <c r="DC21" s="82">
        <v>5</v>
      </c>
      <c r="DD21" s="82">
        <v>1</v>
      </c>
      <c r="DE21" s="82">
        <v>7</v>
      </c>
      <c r="DF21" s="82">
        <v>1</v>
      </c>
      <c r="DG21" s="82">
        <v>7</v>
      </c>
      <c r="DH21" s="82">
        <v>3</v>
      </c>
      <c r="DI21" s="82">
        <v>4</v>
      </c>
      <c r="DJ21" s="82">
        <v>5</v>
      </c>
      <c r="DK21" s="82">
        <v>2</v>
      </c>
      <c r="DL21" s="82">
        <v>3</v>
      </c>
      <c r="DM21" s="82">
        <v>4</v>
      </c>
      <c r="DN21" s="82">
        <v>3</v>
      </c>
      <c r="DO21" s="82">
        <v>4</v>
      </c>
      <c r="DP21" s="82">
        <v>4</v>
      </c>
      <c r="DQ21" s="82" t="s">
        <v>280</v>
      </c>
    </row>
    <row r="22" spans="1:121" x14ac:dyDescent="0.2">
      <c r="A22" s="82">
        <v>1322335418</v>
      </c>
      <c r="B22" s="82">
        <v>17670072</v>
      </c>
      <c r="C22" s="83">
        <v>40596.837094907409</v>
      </c>
      <c r="D22" s="83">
        <v>40596.846689814818</v>
      </c>
      <c r="E22" s="82"/>
      <c r="F22" s="82"/>
      <c r="G22" s="82"/>
      <c r="H22" s="82"/>
      <c r="I22" s="82"/>
      <c r="J22" s="82"/>
      <c r="K22" s="82" t="s">
        <v>335</v>
      </c>
      <c r="L22" s="82"/>
      <c r="M22" s="82"/>
      <c r="N22" s="82"/>
      <c r="O22" s="82" t="s">
        <v>273</v>
      </c>
      <c r="P22" s="82"/>
      <c r="Q22" s="82"/>
      <c r="R22" s="82"/>
      <c r="S22" s="82"/>
      <c r="T22" s="82"/>
      <c r="U22" s="82">
        <v>4</v>
      </c>
      <c r="V22" s="82">
        <v>1</v>
      </c>
      <c r="W22" s="82">
        <v>7</v>
      </c>
      <c r="X22" s="82">
        <v>4</v>
      </c>
      <c r="Y22" s="82">
        <v>1</v>
      </c>
      <c r="Z22" s="82">
        <v>1</v>
      </c>
      <c r="AA22" s="82">
        <v>4</v>
      </c>
      <c r="AB22" s="82">
        <v>4</v>
      </c>
      <c r="AC22" s="82">
        <v>7</v>
      </c>
      <c r="AD22" s="82">
        <v>4</v>
      </c>
      <c r="AE22" s="82">
        <v>3</v>
      </c>
      <c r="AF22" s="82">
        <v>4</v>
      </c>
      <c r="AG22" s="82">
        <v>1</v>
      </c>
      <c r="AH22" s="82">
        <v>6</v>
      </c>
      <c r="AI22" s="82">
        <v>7</v>
      </c>
      <c r="AJ22" s="82">
        <v>4</v>
      </c>
      <c r="AK22" s="82">
        <v>6</v>
      </c>
      <c r="AL22" s="82">
        <v>4</v>
      </c>
      <c r="AM22" s="82">
        <v>2</v>
      </c>
      <c r="AN22" s="82">
        <v>2</v>
      </c>
      <c r="AO22" s="82">
        <v>4</v>
      </c>
      <c r="AP22" s="82">
        <v>4</v>
      </c>
      <c r="AQ22" s="82">
        <v>4</v>
      </c>
      <c r="AR22" s="82">
        <v>3</v>
      </c>
      <c r="AS22" s="82">
        <v>2</v>
      </c>
      <c r="AT22" s="82">
        <v>4</v>
      </c>
      <c r="AU22" s="82">
        <v>2</v>
      </c>
      <c r="AV22" s="82">
        <v>1</v>
      </c>
      <c r="AW22" s="82">
        <v>1</v>
      </c>
      <c r="AX22" s="82">
        <v>1</v>
      </c>
      <c r="AY22" s="82">
        <v>2</v>
      </c>
      <c r="AZ22" s="82">
        <v>1</v>
      </c>
      <c r="BA22" s="82">
        <v>2</v>
      </c>
      <c r="BB22" s="82">
        <v>4</v>
      </c>
      <c r="BC22" s="82">
        <v>4</v>
      </c>
      <c r="BD22" s="82">
        <v>1</v>
      </c>
      <c r="BE22" s="82">
        <v>4</v>
      </c>
      <c r="BF22" s="82">
        <v>7</v>
      </c>
      <c r="BG22" s="82">
        <v>4</v>
      </c>
      <c r="BH22" s="82">
        <v>1</v>
      </c>
      <c r="BI22" s="82">
        <v>4</v>
      </c>
      <c r="BJ22" s="82">
        <v>1</v>
      </c>
      <c r="BK22" s="82">
        <v>1</v>
      </c>
      <c r="BL22" s="82">
        <v>4</v>
      </c>
      <c r="BM22" s="82">
        <v>4</v>
      </c>
      <c r="BN22" s="82">
        <v>3</v>
      </c>
      <c r="BO22" s="82">
        <v>3</v>
      </c>
      <c r="BP22" s="82">
        <v>7</v>
      </c>
      <c r="BQ22" s="82">
        <v>4</v>
      </c>
      <c r="BR22" s="82">
        <v>4</v>
      </c>
      <c r="BS22" s="82">
        <v>4</v>
      </c>
      <c r="BT22" s="82">
        <v>7</v>
      </c>
      <c r="BU22" s="82">
        <v>4</v>
      </c>
      <c r="BV22" s="82">
        <v>7</v>
      </c>
      <c r="BW22" s="82">
        <v>4</v>
      </c>
      <c r="BX22" s="82">
        <v>3</v>
      </c>
      <c r="BY22" s="82">
        <v>1</v>
      </c>
      <c r="BZ22" s="82">
        <v>1</v>
      </c>
      <c r="CA22" s="82">
        <v>1</v>
      </c>
      <c r="CB22" s="82">
        <v>4</v>
      </c>
      <c r="CC22" s="82">
        <v>1</v>
      </c>
      <c r="CD22" s="82">
        <v>4</v>
      </c>
      <c r="CE22" s="82">
        <v>5</v>
      </c>
      <c r="CF22" s="82">
        <v>7</v>
      </c>
      <c r="CG22" s="82">
        <v>2</v>
      </c>
      <c r="CH22" s="82">
        <v>4</v>
      </c>
      <c r="CI22" s="82">
        <v>1</v>
      </c>
      <c r="CJ22" s="82">
        <v>3</v>
      </c>
      <c r="CK22" s="82">
        <v>4</v>
      </c>
      <c r="CL22" s="82">
        <v>1</v>
      </c>
      <c r="CM22" s="82">
        <v>1</v>
      </c>
      <c r="CN22" s="82">
        <v>4</v>
      </c>
      <c r="CO22" s="82">
        <v>3</v>
      </c>
      <c r="CP22" s="82">
        <v>7</v>
      </c>
      <c r="CQ22" s="82">
        <v>4</v>
      </c>
      <c r="CR22" s="82">
        <v>7</v>
      </c>
      <c r="CS22" s="82">
        <v>7</v>
      </c>
      <c r="CT22" s="82">
        <v>7</v>
      </c>
      <c r="CU22" s="82">
        <v>3</v>
      </c>
      <c r="CV22" s="82">
        <v>2</v>
      </c>
      <c r="CW22" s="82">
        <v>7</v>
      </c>
      <c r="CX22" s="82">
        <v>4</v>
      </c>
      <c r="CY22" s="82">
        <v>4</v>
      </c>
      <c r="CZ22" s="82">
        <v>3</v>
      </c>
      <c r="DA22" s="82">
        <v>6</v>
      </c>
      <c r="DB22" s="82">
        <v>3</v>
      </c>
      <c r="DC22" s="82">
        <v>3</v>
      </c>
      <c r="DD22" s="82">
        <v>2</v>
      </c>
      <c r="DE22" s="82">
        <v>4</v>
      </c>
      <c r="DF22" s="82">
        <v>1</v>
      </c>
      <c r="DG22" s="82">
        <v>7</v>
      </c>
      <c r="DH22" s="82">
        <v>6</v>
      </c>
      <c r="DI22" s="82">
        <v>4</v>
      </c>
      <c r="DJ22" s="82">
        <v>3</v>
      </c>
      <c r="DK22" s="82">
        <v>4</v>
      </c>
      <c r="DL22" s="82">
        <v>2</v>
      </c>
      <c r="DM22" s="82">
        <v>4</v>
      </c>
      <c r="DN22" s="82">
        <v>4</v>
      </c>
      <c r="DO22" s="82">
        <v>5</v>
      </c>
      <c r="DP22" s="82">
        <v>4</v>
      </c>
    </row>
    <row r="23" spans="1:121" x14ac:dyDescent="0.2">
      <c r="A23">
        <v>1344591619</v>
      </c>
      <c r="B23">
        <v>17670072</v>
      </c>
      <c r="C23" s="85">
        <v>40612.577222222222</v>
      </c>
      <c r="D23" s="85">
        <v>40612.587604166663</v>
      </c>
      <c r="J23">
        <v>2</v>
      </c>
      <c r="K23" t="s">
        <v>336</v>
      </c>
      <c r="L23" t="s">
        <v>326</v>
      </c>
      <c r="M23">
        <v>7</v>
      </c>
      <c r="N23" t="s">
        <v>337</v>
      </c>
      <c r="O23" t="s">
        <v>324</v>
      </c>
      <c r="U23">
        <v>4</v>
      </c>
      <c r="V23">
        <v>2</v>
      </c>
      <c r="W23">
        <v>7</v>
      </c>
      <c r="X23">
        <v>4</v>
      </c>
      <c r="Y23">
        <v>3</v>
      </c>
      <c r="Z23">
        <v>6</v>
      </c>
      <c r="AA23">
        <v>4</v>
      </c>
      <c r="AB23">
        <v>4</v>
      </c>
      <c r="AC23">
        <v>4</v>
      </c>
      <c r="AD23">
        <v>3</v>
      </c>
      <c r="AE23">
        <v>5</v>
      </c>
      <c r="AF23">
        <v>7</v>
      </c>
      <c r="AG23">
        <v>6</v>
      </c>
      <c r="AH23">
        <v>6</v>
      </c>
      <c r="AI23">
        <v>6</v>
      </c>
      <c r="AJ23">
        <v>7</v>
      </c>
      <c r="AK23">
        <v>4</v>
      </c>
      <c r="AL23">
        <v>3</v>
      </c>
      <c r="AM23">
        <v>3</v>
      </c>
      <c r="AN23">
        <v>2</v>
      </c>
      <c r="AO23">
        <v>4</v>
      </c>
      <c r="AP23">
        <v>4</v>
      </c>
      <c r="AQ23">
        <v>3</v>
      </c>
      <c r="AR23">
        <v>4</v>
      </c>
      <c r="AS23">
        <v>3</v>
      </c>
      <c r="AT23">
        <v>4</v>
      </c>
      <c r="AU23">
        <v>4</v>
      </c>
      <c r="AV23">
        <v>1</v>
      </c>
      <c r="AW23">
        <v>4</v>
      </c>
      <c r="AX23">
        <v>4</v>
      </c>
      <c r="AY23">
        <v>3</v>
      </c>
      <c r="AZ23">
        <v>7</v>
      </c>
      <c r="BA23">
        <v>1</v>
      </c>
      <c r="BB23">
        <v>4</v>
      </c>
      <c r="BC23">
        <v>4</v>
      </c>
      <c r="BD23">
        <v>2</v>
      </c>
      <c r="BE23">
        <v>2</v>
      </c>
      <c r="BF23">
        <v>4</v>
      </c>
      <c r="BG23">
        <v>1</v>
      </c>
      <c r="BH23">
        <v>1</v>
      </c>
      <c r="BI23">
        <v>2</v>
      </c>
      <c r="BJ23">
        <v>1</v>
      </c>
      <c r="BK23">
        <v>2</v>
      </c>
      <c r="BL23">
        <v>7</v>
      </c>
      <c r="BM23">
        <v>3</v>
      </c>
      <c r="BN23">
        <v>4</v>
      </c>
      <c r="BO23">
        <v>5</v>
      </c>
      <c r="BP23">
        <v>7</v>
      </c>
      <c r="BQ23">
        <v>4</v>
      </c>
      <c r="BR23">
        <v>4</v>
      </c>
      <c r="BS23">
        <v>4</v>
      </c>
      <c r="BT23">
        <v>4</v>
      </c>
      <c r="BU23">
        <v>4</v>
      </c>
      <c r="BV23">
        <v>6</v>
      </c>
      <c r="BW23">
        <v>4</v>
      </c>
      <c r="BX23">
        <v>4</v>
      </c>
      <c r="BY23">
        <v>4</v>
      </c>
      <c r="BZ23">
        <v>1</v>
      </c>
      <c r="CA23">
        <v>2</v>
      </c>
      <c r="CB23">
        <v>4</v>
      </c>
      <c r="CC23">
        <v>2</v>
      </c>
      <c r="CD23">
        <v>4</v>
      </c>
      <c r="CE23">
        <v>4</v>
      </c>
      <c r="CF23">
        <v>7</v>
      </c>
      <c r="CG23">
        <v>3</v>
      </c>
      <c r="CH23">
        <v>4</v>
      </c>
      <c r="CI23">
        <v>4</v>
      </c>
      <c r="CJ23">
        <v>4</v>
      </c>
      <c r="CK23">
        <v>1</v>
      </c>
      <c r="CL23">
        <v>1</v>
      </c>
      <c r="CM23">
        <v>1</v>
      </c>
      <c r="CN23">
        <v>7</v>
      </c>
      <c r="CO23">
        <v>6</v>
      </c>
      <c r="CP23">
        <v>4</v>
      </c>
      <c r="CQ23">
        <v>4</v>
      </c>
      <c r="CR23">
        <v>4</v>
      </c>
      <c r="CS23">
        <v>6</v>
      </c>
      <c r="CT23">
        <v>4</v>
      </c>
      <c r="CU23">
        <v>4</v>
      </c>
      <c r="CV23">
        <v>1</v>
      </c>
      <c r="CW23">
        <v>7</v>
      </c>
      <c r="CX23">
        <v>4</v>
      </c>
      <c r="CY23">
        <v>7</v>
      </c>
      <c r="CZ23">
        <v>7</v>
      </c>
      <c r="DA23">
        <v>6</v>
      </c>
      <c r="DB23">
        <v>2</v>
      </c>
      <c r="DC23">
        <v>4</v>
      </c>
      <c r="DD23">
        <v>1</v>
      </c>
      <c r="DE23">
        <v>3</v>
      </c>
      <c r="DF23">
        <v>1</v>
      </c>
      <c r="DG23">
        <v>4</v>
      </c>
      <c r="DH23">
        <v>2</v>
      </c>
      <c r="DI23">
        <v>1</v>
      </c>
      <c r="DJ23">
        <v>4</v>
      </c>
      <c r="DK23">
        <v>4</v>
      </c>
      <c r="DL23">
        <v>1</v>
      </c>
      <c r="DM23">
        <v>4</v>
      </c>
      <c r="DN23">
        <v>4</v>
      </c>
      <c r="DO23">
        <v>4</v>
      </c>
      <c r="DP23">
        <v>4</v>
      </c>
    </row>
  </sheetData>
  <mergeCells count="1">
    <mergeCell ref="A7:S7"/>
  </mergeCells>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Button1">
                <anchor moveWithCells="1" sizeWithCells="1">
                  <from>
                    <xdr:col>0</xdr:col>
                    <xdr:colOff>219075</xdr:colOff>
                    <xdr:row>0</xdr:row>
                    <xdr:rowOff>66675</xdr:rowOff>
                  </from>
                  <to>
                    <xdr:col>2</xdr:col>
                    <xdr:colOff>171450</xdr:colOff>
                    <xdr:row>2</xdr:row>
                    <xdr:rowOff>114300</xdr:rowOff>
                  </to>
                </anchor>
              </controlPr>
            </control>
          </mc:Choice>
        </mc:AlternateContent>
        <mc:AlternateContent xmlns:mc="http://schemas.openxmlformats.org/markup-compatibility/2006">
          <mc:Choice Requires="x14">
            <control shapeId="3075" r:id="rId5" name="Button 3">
              <controlPr defaultSize="0" print="0" autoFill="0" autoPict="0" macro="[0]!Button2">
                <anchor moveWithCells="1" sizeWithCells="1">
                  <from>
                    <xdr:col>2</xdr:col>
                    <xdr:colOff>542925</xdr:colOff>
                    <xdr:row>0</xdr:row>
                    <xdr:rowOff>85725</xdr:rowOff>
                  </from>
                  <to>
                    <xdr:col>4</xdr:col>
                    <xdr:colOff>371475</xdr:colOff>
                    <xdr:row>2</xdr:row>
                    <xdr:rowOff>95250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A1:O113"/>
  <sheetViews>
    <sheetView tabSelected="1" workbookViewId="0">
      <selection activeCell="C2" sqref="C2"/>
    </sheetView>
  </sheetViews>
  <sheetFormatPr defaultRowHeight="12.75" x14ac:dyDescent="0.2"/>
  <cols>
    <col min="1" max="1" width="65.28515625" style="17" customWidth="1"/>
    <col min="2" max="2" width="9.28515625" style="64" customWidth="1"/>
    <col min="3" max="3" width="8.140625" style="64" customWidth="1"/>
    <col min="4" max="4" width="32" style="7" customWidth="1"/>
    <col min="5" max="5" width="13.85546875" style="7" customWidth="1"/>
    <col min="6" max="6" width="12.5703125" customWidth="1"/>
    <col min="7" max="7" width="13.140625" customWidth="1"/>
    <col min="8" max="8" width="12" customWidth="1"/>
    <col min="9" max="9" width="12.85546875" customWidth="1"/>
    <col min="10" max="10" width="12" customWidth="1"/>
    <col min="13" max="13" width="15.28515625" customWidth="1"/>
    <col min="14" max="14" width="15" customWidth="1"/>
    <col min="15" max="15" width="14.85546875" customWidth="1"/>
  </cols>
  <sheetData>
    <row r="1" spans="1:15" s="4" customFormat="1" ht="15.75" customHeight="1" x14ac:dyDescent="0.2">
      <c r="A1" s="61" t="s">
        <v>126</v>
      </c>
      <c r="B1" s="62" t="s">
        <v>306</v>
      </c>
      <c r="C1" s="62" t="s">
        <v>305</v>
      </c>
      <c r="D1" s="63" t="s">
        <v>186</v>
      </c>
      <c r="E1" s="63" t="s">
        <v>358</v>
      </c>
      <c r="F1" s="4" t="s">
        <v>352</v>
      </c>
      <c r="G1" s="4" t="s">
        <v>353</v>
      </c>
      <c r="H1" s="4" t="s">
        <v>354</v>
      </c>
      <c r="I1" s="4" t="s">
        <v>350</v>
      </c>
      <c r="J1" s="4" t="s">
        <v>349</v>
      </c>
      <c r="K1" s="4" t="s">
        <v>351</v>
      </c>
      <c r="M1" s="4" t="s">
        <v>355</v>
      </c>
      <c r="N1" s="4" t="s">
        <v>356</v>
      </c>
      <c r="O1" s="4" t="s">
        <v>357</v>
      </c>
    </row>
    <row r="2" spans="1:15" x14ac:dyDescent="0.2">
      <c r="A2" t="s">
        <v>11</v>
      </c>
      <c r="B2" s="64">
        <v>0</v>
      </c>
      <c r="C2" s="87">
        <f ca="1">F2+I2</f>
        <v>0.53</v>
      </c>
      <c r="D2" s="7" t="s">
        <v>132</v>
      </c>
      <c r="E2" s="88">
        <f ca="1">ROUND(C2, 1)</f>
        <v>0.5</v>
      </c>
      <c r="F2">
        <v>0.4</v>
      </c>
      <c r="G2">
        <v>0.3</v>
      </c>
      <c r="H2">
        <v>0.2</v>
      </c>
      <c r="I2" s="86">
        <f ca="1">RANDBETWEEN(-40,40)/100</f>
        <v>0.13</v>
      </c>
      <c r="J2" s="86">
        <f ca="1">RANDBETWEEN(-30,30)/100</f>
        <v>-0.26</v>
      </c>
      <c r="K2" s="86">
        <f ca="1">RANDBETWEEN(-20,20)/100</f>
        <v>0.06</v>
      </c>
    </row>
    <row r="3" spans="1:15" x14ac:dyDescent="0.2">
      <c r="A3" t="s">
        <v>12</v>
      </c>
      <c r="B3" s="64">
        <v>0</v>
      </c>
      <c r="C3" s="87">
        <f t="shared" ref="C3:C66" ca="1" si="0">F3+I3</f>
        <v>0.17</v>
      </c>
      <c r="D3" s="7" t="s">
        <v>133</v>
      </c>
      <c r="E3" s="88">
        <f t="shared" ref="E3:E66" ca="1" si="1">ROUND(C3, 1)</f>
        <v>0.2</v>
      </c>
      <c r="F3">
        <v>0.4</v>
      </c>
      <c r="G3">
        <v>0.3</v>
      </c>
      <c r="H3">
        <v>0.2</v>
      </c>
      <c r="I3" s="86">
        <f t="shared" ref="I3:I66" ca="1" si="2">RANDBETWEEN(-40,40)/100</f>
        <v>-0.23</v>
      </c>
      <c r="J3" s="86">
        <f t="shared" ref="J3:J66" ca="1" si="3">RANDBETWEEN(-30,30)/100</f>
        <v>0.22</v>
      </c>
      <c r="K3" s="86">
        <f t="shared" ref="K3:K66" ca="1" si="4">RANDBETWEEN(-20,20)/100</f>
        <v>0.08</v>
      </c>
    </row>
    <row r="4" spans="1:15" ht="15" x14ac:dyDescent="0.25">
      <c r="A4" t="s">
        <v>281</v>
      </c>
      <c r="B4" s="64">
        <v>0</v>
      </c>
      <c r="C4" s="87">
        <f t="shared" ca="1" si="0"/>
        <v>0.53</v>
      </c>
      <c r="D4" s="7" t="s">
        <v>134</v>
      </c>
      <c r="E4" s="88">
        <f t="shared" ca="1" si="1"/>
        <v>0.5</v>
      </c>
      <c r="F4">
        <v>0.4</v>
      </c>
      <c r="G4">
        <v>0.3</v>
      </c>
      <c r="H4">
        <v>0.2</v>
      </c>
      <c r="I4" s="86">
        <f t="shared" ca="1" si="2"/>
        <v>0.13</v>
      </c>
      <c r="J4" s="86">
        <f t="shared" ca="1" si="3"/>
        <v>-0.04</v>
      </c>
      <c r="K4" s="86">
        <f t="shared" ca="1" si="4"/>
        <v>-0.02</v>
      </c>
    </row>
    <row r="5" spans="1:15" x14ac:dyDescent="0.2">
      <c r="A5" t="s">
        <v>14</v>
      </c>
      <c r="B5" s="64">
        <v>0</v>
      </c>
      <c r="C5" s="87">
        <f t="shared" ca="1" si="0"/>
        <v>0.13</v>
      </c>
      <c r="D5" s="7" t="s">
        <v>133</v>
      </c>
      <c r="E5" s="88">
        <f t="shared" ca="1" si="1"/>
        <v>0.1</v>
      </c>
      <c r="F5">
        <v>0.4</v>
      </c>
      <c r="G5">
        <v>0.3</v>
      </c>
      <c r="H5">
        <v>0.2</v>
      </c>
      <c r="I5" s="86">
        <f t="shared" ca="1" si="2"/>
        <v>-0.27</v>
      </c>
      <c r="J5" s="86">
        <f t="shared" ca="1" si="3"/>
        <v>-0.1</v>
      </c>
      <c r="K5" s="86">
        <f t="shared" ca="1" si="4"/>
        <v>-0.17</v>
      </c>
    </row>
    <row r="6" spans="1:15" ht="15" x14ac:dyDescent="0.25">
      <c r="A6" t="s">
        <v>282</v>
      </c>
      <c r="B6" s="64">
        <v>0</v>
      </c>
      <c r="C6" s="87">
        <f t="shared" ca="1" si="0"/>
        <v>0.30000000000000004</v>
      </c>
      <c r="D6" s="7" t="s">
        <v>133</v>
      </c>
      <c r="E6" s="88">
        <f t="shared" ca="1" si="1"/>
        <v>0.3</v>
      </c>
      <c r="F6">
        <v>0.4</v>
      </c>
      <c r="G6">
        <v>0.3</v>
      </c>
      <c r="H6">
        <v>0.2</v>
      </c>
      <c r="I6" s="86">
        <f t="shared" ca="1" si="2"/>
        <v>-0.1</v>
      </c>
      <c r="J6" s="86">
        <f t="shared" ca="1" si="3"/>
        <v>0.17</v>
      </c>
      <c r="K6" s="86">
        <f t="shared" ca="1" si="4"/>
        <v>0.17</v>
      </c>
    </row>
    <row r="7" spans="1:15" ht="15" x14ac:dyDescent="0.25">
      <c r="A7" t="s">
        <v>283</v>
      </c>
      <c r="B7" s="64">
        <v>0</v>
      </c>
      <c r="C7" s="87">
        <f t="shared" ca="1" si="0"/>
        <v>0.43000000000000005</v>
      </c>
      <c r="D7" s="7" t="s">
        <v>133</v>
      </c>
      <c r="E7" s="88">
        <f t="shared" ca="1" si="1"/>
        <v>0.4</v>
      </c>
      <c r="F7">
        <v>0.4</v>
      </c>
      <c r="G7">
        <v>0.3</v>
      </c>
      <c r="H7">
        <v>0.2</v>
      </c>
      <c r="I7" s="86">
        <f t="shared" ca="1" si="2"/>
        <v>0.03</v>
      </c>
      <c r="J7" s="86">
        <f t="shared" ca="1" si="3"/>
        <v>-7.0000000000000007E-2</v>
      </c>
      <c r="K7" s="86">
        <f t="shared" ca="1" si="4"/>
        <v>0.11</v>
      </c>
    </row>
    <row r="8" spans="1:15" x14ac:dyDescent="0.2">
      <c r="A8" t="s">
        <v>17</v>
      </c>
      <c r="B8" s="64">
        <v>0</v>
      </c>
      <c r="C8" s="87">
        <f t="shared" ca="1" si="0"/>
        <v>0.55000000000000004</v>
      </c>
      <c r="D8" s="7" t="s">
        <v>133</v>
      </c>
      <c r="E8" s="88">
        <f t="shared" ca="1" si="1"/>
        <v>0.6</v>
      </c>
      <c r="F8">
        <v>0.4</v>
      </c>
      <c r="G8">
        <v>0.3</v>
      </c>
      <c r="H8">
        <v>0.2</v>
      </c>
      <c r="I8" s="86">
        <f t="shared" ca="1" si="2"/>
        <v>0.15</v>
      </c>
      <c r="J8" s="86">
        <f t="shared" ca="1" si="3"/>
        <v>0.18</v>
      </c>
      <c r="K8" s="86">
        <f t="shared" ca="1" si="4"/>
        <v>-0.18</v>
      </c>
    </row>
    <row r="9" spans="1:15" x14ac:dyDescent="0.2">
      <c r="A9" t="s">
        <v>18</v>
      </c>
      <c r="B9" s="64">
        <v>0</v>
      </c>
      <c r="C9" s="87">
        <f t="shared" ca="1" si="0"/>
        <v>0.38</v>
      </c>
      <c r="D9" s="7" t="s">
        <v>135</v>
      </c>
      <c r="E9" s="88">
        <f t="shared" ca="1" si="1"/>
        <v>0.4</v>
      </c>
      <c r="F9">
        <v>0.4</v>
      </c>
      <c r="G9">
        <v>0.3</v>
      </c>
      <c r="H9">
        <v>0.2</v>
      </c>
      <c r="I9" s="86">
        <f t="shared" ca="1" si="2"/>
        <v>-0.02</v>
      </c>
      <c r="J9" s="86">
        <f t="shared" ca="1" si="3"/>
        <v>0.02</v>
      </c>
      <c r="K9" s="86">
        <f t="shared" ca="1" si="4"/>
        <v>-0.16</v>
      </c>
    </row>
    <row r="10" spans="1:15" ht="15" x14ac:dyDescent="0.25">
      <c r="A10" t="s">
        <v>284</v>
      </c>
      <c r="B10" s="64">
        <v>0</v>
      </c>
      <c r="C10" s="87">
        <f t="shared" ca="1" si="0"/>
        <v>8.0000000000000016E-2</v>
      </c>
      <c r="D10" s="7" t="s">
        <v>136</v>
      </c>
      <c r="E10" s="88">
        <f t="shared" ca="1" si="1"/>
        <v>0.1</v>
      </c>
      <c r="F10">
        <v>0.4</v>
      </c>
      <c r="G10">
        <v>0.3</v>
      </c>
      <c r="H10">
        <v>0.2</v>
      </c>
      <c r="I10" s="86">
        <f t="shared" ca="1" si="2"/>
        <v>-0.32</v>
      </c>
      <c r="J10" s="86">
        <f t="shared" ca="1" si="3"/>
        <v>-0.27</v>
      </c>
      <c r="K10" s="86">
        <f t="shared" ca="1" si="4"/>
        <v>-0.2</v>
      </c>
    </row>
    <row r="11" spans="1:15" ht="15" x14ac:dyDescent="0.25">
      <c r="A11" s="81" t="s">
        <v>285</v>
      </c>
      <c r="B11" s="64">
        <v>0</v>
      </c>
      <c r="C11" s="87">
        <f t="shared" ca="1" si="0"/>
        <v>0.38</v>
      </c>
      <c r="D11" s="7" t="s">
        <v>137</v>
      </c>
      <c r="E11" s="88">
        <f t="shared" ca="1" si="1"/>
        <v>0.4</v>
      </c>
      <c r="F11">
        <v>0.4</v>
      </c>
      <c r="G11">
        <v>0.3</v>
      </c>
      <c r="H11">
        <v>0.2</v>
      </c>
      <c r="I11" s="86">
        <f t="shared" ca="1" si="2"/>
        <v>-0.02</v>
      </c>
      <c r="J11" s="86">
        <f t="shared" ca="1" si="3"/>
        <v>0.27</v>
      </c>
      <c r="K11" s="86">
        <f t="shared" ca="1" si="4"/>
        <v>-0.13</v>
      </c>
    </row>
    <row r="12" spans="1:15" x14ac:dyDescent="0.2">
      <c r="A12" t="s">
        <v>21</v>
      </c>
      <c r="B12" s="64">
        <v>0</v>
      </c>
      <c r="C12" s="87">
        <f t="shared" ca="1" si="0"/>
        <v>1.0000000000000009E-2</v>
      </c>
      <c r="D12" s="7" t="s">
        <v>133</v>
      </c>
      <c r="E12" s="88">
        <f t="shared" ca="1" si="1"/>
        <v>0</v>
      </c>
      <c r="F12">
        <v>0.4</v>
      </c>
      <c r="G12">
        <v>0.3</v>
      </c>
      <c r="H12">
        <v>0.2</v>
      </c>
      <c r="I12" s="86">
        <f t="shared" ca="1" si="2"/>
        <v>-0.39</v>
      </c>
      <c r="J12" s="86">
        <f t="shared" ca="1" si="3"/>
        <v>-0.01</v>
      </c>
      <c r="K12" s="86">
        <f t="shared" ca="1" si="4"/>
        <v>0.2</v>
      </c>
    </row>
    <row r="13" spans="1:15" x14ac:dyDescent="0.2">
      <c r="A13" t="s">
        <v>22</v>
      </c>
      <c r="B13" s="64">
        <v>0</v>
      </c>
      <c r="C13" s="87">
        <f t="shared" ca="1" si="0"/>
        <v>0.28000000000000003</v>
      </c>
      <c r="D13" s="7" t="s">
        <v>138</v>
      </c>
      <c r="E13" s="88">
        <f t="shared" ca="1" si="1"/>
        <v>0.3</v>
      </c>
      <c r="F13">
        <v>0.4</v>
      </c>
      <c r="G13">
        <v>0.3</v>
      </c>
      <c r="H13">
        <v>0.2</v>
      </c>
      <c r="I13" s="86">
        <f t="shared" ca="1" si="2"/>
        <v>-0.12</v>
      </c>
      <c r="J13" s="86">
        <f t="shared" ca="1" si="3"/>
        <v>0.11</v>
      </c>
      <c r="K13" s="86">
        <f t="shared" ca="1" si="4"/>
        <v>-0.12</v>
      </c>
    </row>
    <row r="14" spans="1:15" x14ac:dyDescent="0.2">
      <c r="A14" t="s">
        <v>23</v>
      </c>
      <c r="B14" s="64">
        <v>0</v>
      </c>
      <c r="C14" s="87">
        <f t="shared" ca="1" si="0"/>
        <v>0.36000000000000004</v>
      </c>
      <c r="D14" s="7" t="s">
        <v>133</v>
      </c>
      <c r="E14" s="88">
        <f t="shared" ca="1" si="1"/>
        <v>0.4</v>
      </c>
      <c r="F14">
        <v>0.4</v>
      </c>
      <c r="G14">
        <v>0.3</v>
      </c>
      <c r="H14">
        <v>0.2</v>
      </c>
      <c r="I14" s="86">
        <f t="shared" ca="1" si="2"/>
        <v>-0.04</v>
      </c>
      <c r="J14" s="86">
        <f t="shared" ca="1" si="3"/>
        <v>-0.25</v>
      </c>
      <c r="K14" s="86">
        <f t="shared" ca="1" si="4"/>
        <v>-0.03</v>
      </c>
    </row>
    <row r="15" spans="1:15" x14ac:dyDescent="0.2">
      <c r="A15" t="s">
        <v>24</v>
      </c>
      <c r="B15" s="64">
        <v>0</v>
      </c>
      <c r="C15" s="87">
        <f t="shared" ca="1" si="0"/>
        <v>0.49</v>
      </c>
      <c r="D15" s="7" t="s">
        <v>139</v>
      </c>
      <c r="E15" s="88">
        <f t="shared" ca="1" si="1"/>
        <v>0.5</v>
      </c>
      <c r="F15">
        <v>0.4</v>
      </c>
      <c r="G15">
        <v>0.3</v>
      </c>
      <c r="H15">
        <v>0.2</v>
      </c>
      <c r="I15" s="86">
        <f t="shared" ca="1" si="2"/>
        <v>0.09</v>
      </c>
      <c r="J15" s="86">
        <f t="shared" ca="1" si="3"/>
        <v>-0.23</v>
      </c>
      <c r="K15" s="86">
        <f t="shared" ca="1" si="4"/>
        <v>0.2</v>
      </c>
    </row>
    <row r="16" spans="1:15" x14ac:dyDescent="0.2">
      <c r="A16" t="s">
        <v>25</v>
      </c>
      <c r="B16" s="64">
        <v>0</v>
      </c>
      <c r="C16" s="87">
        <f t="shared" ca="1" si="0"/>
        <v>9.0000000000000024E-2</v>
      </c>
      <c r="D16" s="7" t="s">
        <v>140</v>
      </c>
      <c r="E16" s="88">
        <f t="shared" ca="1" si="1"/>
        <v>0.1</v>
      </c>
      <c r="F16">
        <v>0.4</v>
      </c>
      <c r="G16">
        <v>0.3</v>
      </c>
      <c r="H16">
        <v>0.2</v>
      </c>
      <c r="I16" s="86">
        <f t="shared" ca="1" si="2"/>
        <v>-0.31</v>
      </c>
      <c r="J16" s="86">
        <f t="shared" ca="1" si="3"/>
        <v>-0.13</v>
      </c>
      <c r="K16" s="86">
        <f t="shared" ca="1" si="4"/>
        <v>0.04</v>
      </c>
    </row>
    <row r="17" spans="1:12" x14ac:dyDescent="0.2">
      <c r="A17" t="s">
        <v>26</v>
      </c>
      <c r="B17" s="64">
        <v>0</v>
      </c>
      <c r="C17" s="87">
        <f t="shared" ca="1" si="0"/>
        <v>0.79</v>
      </c>
      <c r="D17" s="7" t="s">
        <v>141</v>
      </c>
      <c r="E17" s="88">
        <f t="shared" ca="1" si="1"/>
        <v>0.8</v>
      </c>
      <c r="F17">
        <v>0.4</v>
      </c>
      <c r="G17">
        <v>0.3</v>
      </c>
      <c r="H17">
        <v>0.2</v>
      </c>
      <c r="I17" s="86">
        <f t="shared" ca="1" si="2"/>
        <v>0.39</v>
      </c>
      <c r="J17" s="86">
        <f t="shared" ca="1" si="3"/>
        <v>0.3</v>
      </c>
      <c r="K17" s="86">
        <f t="shared" ca="1" si="4"/>
        <v>0.09</v>
      </c>
    </row>
    <row r="18" spans="1:12" x14ac:dyDescent="0.2">
      <c r="A18" t="s">
        <v>27</v>
      </c>
      <c r="B18" s="64">
        <v>0</v>
      </c>
      <c r="C18" s="87">
        <f t="shared" ca="1" si="0"/>
        <v>0.52</v>
      </c>
      <c r="D18" s="7" t="s">
        <v>142</v>
      </c>
      <c r="E18" s="88">
        <f t="shared" ca="1" si="1"/>
        <v>0.5</v>
      </c>
      <c r="F18">
        <v>0.4</v>
      </c>
      <c r="G18">
        <v>0.3</v>
      </c>
      <c r="H18">
        <v>0.2</v>
      </c>
      <c r="I18" s="86">
        <f t="shared" ca="1" si="2"/>
        <v>0.12</v>
      </c>
      <c r="J18" s="86">
        <f t="shared" ca="1" si="3"/>
        <v>-0.19</v>
      </c>
      <c r="K18" s="86">
        <f t="shared" ca="1" si="4"/>
        <v>0.02</v>
      </c>
    </row>
    <row r="19" spans="1:12" x14ac:dyDescent="0.2">
      <c r="A19" t="s">
        <v>28</v>
      </c>
      <c r="B19" s="64">
        <v>0</v>
      </c>
      <c r="C19" s="87">
        <f t="shared" ca="1" si="0"/>
        <v>0.77</v>
      </c>
      <c r="D19" s="7" t="s">
        <v>133</v>
      </c>
      <c r="E19" s="88">
        <f t="shared" ca="1" si="1"/>
        <v>0.8</v>
      </c>
      <c r="F19">
        <v>0.4</v>
      </c>
      <c r="G19">
        <v>0.3</v>
      </c>
      <c r="H19">
        <v>0.2</v>
      </c>
      <c r="I19" s="86">
        <f t="shared" ca="1" si="2"/>
        <v>0.37</v>
      </c>
      <c r="J19" s="86">
        <f t="shared" ca="1" si="3"/>
        <v>0.03</v>
      </c>
      <c r="K19" s="86">
        <f t="shared" ca="1" si="4"/>
        <v>-0.16</v>
      </c>
    </row>
    <row r="20" spans="1:12" x14ac:dyDescent="0.2">
      <c r="A20" t="s">
        <v>29</v>
      </c>
      <c r="B20" s="64">
        <v>0</v>
      </c>
      <c r="C20" s="87">
        <f t="shared" ca="1" si="0"/>
        <v>8.0000000000000016E-2</v>
      </c>
      <c r="D20" s="7" t="s">
        <v>133</v>
      </c>
      <c r="E20" s="88">
        <f t="shared" ca="1" si="1"/>
        <v>0.1</v>
      </c>
      <c r="F20">
        <v>0.4</v>
      </c>
      <c r="G20">
        <v>0.3</v>
      </c>
      <c r="H20">
        <v>0.2</v>
      </c>
      <c r="I20" s="86">
        <f t="shared" ca="1" si="2"/>
        <v>-0.32</v>
      </c>
      <c r="J20" s="86">
        <f t="shared" ca="1" si="3"/>
        <v>0.09</v>
      </c>
      <c r="K20" s="86">
        <f t="shared" ca="1" si="4"/>
        <v>-0.11</v>
      </c>
    </row>
    <row r="21" spans="1:12" x14ac:dyDescent="0.2">
      <c r="A21" t="s">
        <v>30</v>
      </c>
      <c r="B21" s="64">
        <v>0</v>
      </c>
      <c r="C21" s="87">
        <f t="shared" ca="1" si="0"/>
        <v>0.32</v>
      </c>
      <c r="D21" s="7" t="s">
        <v>133</v>
      </c>
      <c r="E21" s="88">
        <f t="shared" ca="1" si="1"/>
        <v>0.3</v>
      </c>
      <c r="F21">
        <v>0.4</v>
      </c>
      <c r="G21">
        <v>0.3</v>
      </c>
      <c r="H21">
        <v>0.2</v>
      </c>
      <c r="I21" s="86">
        <f t="shared" ca="1" si="2"/>
        <v>-0.08</v>
      </c>
      <c r="J21" s="86">
        <f t="shared" ca="1" si="3"/>
        <v>-0.05</v>
      </c>
      <c r="K21" s="86">
        <f t="shared" ca="1" si="4"/>
        <v>-0.19</v>
      </c>
    </row>
    <row r="22" spans="1:12" x14ac:dyDescent="0.2">
      <c r="A22" t="s">
        <v>31</v>
      </c>
      <c r="B22" s="64">
        <v>0</v>
      </c>
      <c r="C22" s="87">
        <f t="shared" ca="1" si="0"/>
        <v>0.28000000000000003</v>
      </c>
      <c r="D22" s="7" t="s">
        <v>143</v>
      </c>
      <c r="E22" s="88">
        <f t="shared" ca="1" si="1"/>
        <v>0.3</v>
      </c>
      <c r="F22">
        <v>0.4</v>
      </c>
      <c r="G22">
        <v>0.3</v>
      </c>
      <c r="H22">
        <v>0.2</v>
      </c>
      <c r="I22" s="86">
        <f t="shared" ca="1" si="2"/>
        <v>-0.12</v>
      </c>
      <c r="J22" s="86">
        <f t="shared" ca="1" si="3"/>
        <v>0.17</v>
      </c>
      <c r="K22" s="86">
        <f t="shared" ca="1" si="4"/>
        <v>0.19</v>
      </c>
    </row>
    <row r="23" spans="1:12" x14ac:dyDescent="0.2">
      <c r="A23" t="s">
        <v>32</v>
      </c>
      <c r="B23" s="64">
        <v>0</v>
      </c>
      <c r="C23" s="87">
        <f t="shared" ca="1" si="0"/>
        <v>0.47000000000000003</v>
      </c>
      <c r="D23" s="7" t="s">
        <v>144</v>
      </c>
      <c r="E23" s="88">
        <f t="shared" ca="1" si="1"/>
        <v>0.5</v>
      </c>
      <c r="F23">
        <v>0.4</v>
      </c>
      <c r="G23">
        <v>0.3</v>
      </c>
      <c r="H23">
        <v>0.2</v>
      </c>
      <c r="I23" s="86">
        <f t="shared" ca="1" si="2"/>
        <v>7.0000000000000007E-2</v>
      </c>
      <c r="J23" s="86">
        <f t="shared" ca="1" si="3"/>
        <v>0.18</v>
      </c>
      <c r="K23" s="86">
        <f t="shared" ca="1" si="4"/>
        <v>0.15</v>
      </c>
    </row>
    <row r="24" spans="1:12" x14ac:dyDescent="0.2">
      <c r="A24" t="s">
        <v>33</v>
      </c>
      <c r="B24" s="64">
        <v>0</v>
      </c>
      <c r="C24" s="87">
        <f t="shared" ca="1" si="0"/>
        <v>0.37</v>
      </c>
      <c r="D24" s="7" t="s">
        <v>133</v>
      </c>
      <c r="E24" s="88">
        <f t="shared" ca="1" si="1"/>
        <v>0.4</v>
      </c>
      <c r="F24">
        <v>0.4</v>
      </c>
      <c r="G24">
        <v>0.3</v>
      </c>
      <c r="H24">
        <v>0.2</v>
      </c>
      <c r="I24" s="86">
        <f t="shared" ca="1" si="2"/>
        <v>-0.03</v>
      </c>
      <c r="J24" s="86">
        <f t="shared" ca="1" si="3"/>
        <v>0.2</v>
      </c>
      <c r="K24" s="86">
        <f t="shared" ca="1" si="4"/>
        <v>0.1</v>
      </c>
    </row>
    <row r="25" spans="1:12" x14ac:dyDescent="0.2">
      <c r="A25" t="s">
        <v>34</v>
      </c>
      <c r="B25" s="64">
        <v>0</v>
      </c>
      <c r="C25" s="87">
        <f t="shared" ca="1" si="0"/>
        <v>0.69</v>
      </c>
      <c r="D25" s="7" t="s">
        <v>133</v>
      </c>
      <c r="E25" s="88">
        <f t="shared" ca="1" si="1"/>
        <v>0.7</v>
      </c>
      <c r="F25">
        <v>0.4</v>
      </c>
      <c r="G25">
        <v>0.3</v>
      </c>
      <c r="H25">
        <v>0.2</v>
      </c>
      <c r="I25" s="86">
        <f t="shared" ca="1" si="2"/>
        <v>0.28999999999999998</v>
      </c>
      <c r="J25" s="86">
        <f t="shared" ca="1" si="3"/>
        <v>-0.09</v>
      </c>
      <c r="K25" s="86">
        <f t="shared" ca="1" si="4"/>
        <v>-0.09</v>
      </c>
    </row>
    <row r="26" spans="1:12" x14ac:dyDescent="0.2">
      <c r="A26" t="s">
        <v>35</v>
      </c>
      <c r="B26" s="64">
        <v>0</v>
      </c>
      <c r="C26" s="87">
        <f t="shared" ca="1" si="0"/>
        <v>0.69</v>
      </c>
      <c r="D26" s="7" t="s">
        <v>133</v>
      </c>
      <c r="E26" s="88">
        <f t="shared" ca="1" si="1"/>
        <v>0.7</v>
      </c>
      <c r="F26">
        <v>0.4</v>
      </c>
      <c r="G26">
        <v>0.3</v>
      </c>
      <c r="H26">
        <v>0.2</v>
      </c>
      <c r="I26" s="86">
        <f t="shared" ca="1" si="2"/>
        <v>0.28999999999999998</v>
      </c>
      <c r="J26" s="86">
        <f t="shared" ca="1" si="3"/>
        <v>-0.17</v>
      </c>
      <c r="K26" s="86">
        <f t="shared" ca="1" si="4"/>
        <v>-0.19</v>
      </c>
    </row>
    <row r="27" spans="1:12" x14ac:dyDescent="0.2">
      <c r="A27" t="s">
        <v>36</v>
      </c>
      <c r="B27" s="64">
        <v>0</v>
      </c>
      <c r="C27" s="87">
        <f t="shared" ca="1" si="0"/>
        <v>0.32</v>
      </c>
      <c r="D27" s="7" t="s">
        <v>133</v>
      </c>
      <c r="E27" s="88">
        <f t="shared" ca="1" si="1"/>
        <v>0.3</v>
      </c>
      <c r="F27">
        <v>0.4</v>
      </c>
      <c r="G27">
        <v>0.3</v>
      </c>
      <c r="H27">
        <v>0.2</v>
      </c>
      <c r="I27" s="86">
        <f t="shared" ca="1" si="2"/>
        <v>-0.08</v>
      </c>
      <c r="J27" s="86">
        <f t="shared" ca="1" si="3"/>
        <v>0.1</v>
      </c>
      <c r="K27" s="86">
        <f t="shared" ca="1" si="4"/>
        <v>0.13</v>
      </c>
    </row>
    <row r="28" spans="1:12" ht="15" x14ac:dyDescent="0.25">
      <c r="A28" t="s">
        <v>286</v>
      </c>
      <c r="B28" s="64">
        <v>0</v>
      </c>
      <c r="C28" s="87">
        <f t="shared" ca="1" si="0"/>
        <v>0.12</v>
      </c>
      <c r="D28" s="7" t="s">
        <v>145</v>
      </c>
      <c r="E28" s="88">
        <f t="shared" ca="1" si="1"/>
        <v>0.1</v>
      </c>
      <c r="F28">
        <v>0.4</v>
      </c>
      <c r="G28">
        <v>0.3</v>
      </c>
      <c r="H28">
        <v>0.2</v>
      </c>
      <c r="I28" s="86">
        <f t="shared" ca="1" si="2"/>
        <v>-0.28000000000000003</v>
      </c>
      <c r="J28" s="86">
        <f t="shared" ca="1" si="3"/>
        <v>0.2</v>
      </c>
      <c r="K28" s="86">
        <f t="shared" ca="1" si="4"/>
        <v>0.14000000000000001</v>
      </c>
    </row>
    <row r="29" spans="1:12" ht="15" x14ac:dyDescent="0.25">
      <c r="A29" t="s">
        <v>287</v>
      </c>
      <c r="B29" s="64">
        <v>0</v>
      </c>
      <c r="C29" s="87">
        <f t="shared" ca="1" si="0"/>
        <v>5.0000000000000044E-2</v>
      </c>
      <c r="D29" s="7" t="s">
        <v>133</v>
      </c>
      <c r="E29" s="88">
        <f t="shared" ca="1" si="1"/>
        <v>0.1</v>
      </c>
      <c r="F29">
        <v>0.4</v>
      </c>
      <c r="G29">
        <v>0.3</v>
      </c>
      <c r="H29">
        <v>0.2</v>
      </c>
      <c r="I29" s="86">
        <f t="shared" ca="1" si="2"/>
        <v>-0.35</v>
      </c>
      <c r="J29" s="86">
        <f t="shared" ca="1" si="3"/>
        <v>-0.14000000000000001</v>
      </c>
      <c r="K29" s="86">
        <f t="shared" ca="1" si="4"/>
        <v>0.14000000000000001</v>
      </c>
    </row>
    <row r="30" spans="1:12" x14ac:dyDescent="0.2">
      <c r="A30" t="s">
        <v>39</v>
      </c>
      <c r="B30" s="64">
        <v>0</v>
      </c>
      <c r="C30" s="87">
        <f t="shared" ca="1" si="0"/>
        <v>0.19000000000000003</v>
      </c>
      <c r="D30" s="7" t="s">
        <v>133</v>
      </c>
      <c r="E30" s="88">
        <f t="shared" ca="1" si="1"/>
        <v>0.2</v>
      </c>
      <c r="F30">
        <v>0.4</v>
      </c>
      <c r="G30">
        <v>0.3</v>
      </c>
      <c r="H30">
        <v>0.2</v>
      </c>
      <c r="I30" s="86">
        <f t="shared" ca="1" si="2"/>
        <v>-0.21</v>
      </c>
      <c r="J30" s="86">
        <f t="shared" ca="1" si="3"/>
        <v>-0.22</v>
      </c>
      <c r="K30" s="86">
        <f t="shared" ca="1" si="4"/>
        <v>0.2</v>
      </c>
      <c r="L30" s="2"/>
    </row>
    <row r="31" spans="1:12" x14ac:dyDescent="0.2">
      <c r="A31" t="s">
        <v>40</v>
      </c>
      <c r="B31" s="64">
        <v>0</v>
      </c>
      <c r="C31" s="87">
        <f t="shared" ca="1" si="0"/>
        <v>0.61</v>
      </c>
      <c r="D31" s="7" t="s">
        <v>133</v>
      </c>
      <c r="E31" s="88">
        <f t="shared" ca="1" si="1"/>
        <v>0.6</v>
      </c>
      <c r="F31">
        <v>0.4</v>
      </c>
      <c r="G31">
        <v>0.3</v>
      </c>
      <c r="H31">
        <v>0.2</v>
      </c>
      <c r="I31" s="86">
        <f t="shared" ca="1" si="2"/>
        <v>0.21</v>
      </c>
      <c r="J31" s="86">
        <f t="shared" ca="1" si="3"/>
        <v>-0.08</v>
      </c>
      <c r="K31" s="86">
        <f t="shared" ca="1" si="4"/>
        <v>0.08</v>
      </c>
    </row>
    <row r="32" spans="1:12" x14ac:dyDescent="0.2">
      <c r="A32" t="s">
        <v>41</v>
      </c>
      <c r="B32" s="64">
        <v>0</v>
      </c>
      <c r="C32" s="87">
        <f t="shared" ca="1" si="0"/>
        <v>0.69</v>
      </c>
      <c r="D32" s="7" t="s">
        <v>146</v>
      </c>
      <c r="E32" s="88">
        <f t="shared" ca="1" si="1"/>
        <v>0.7</v>
      </c>
      <c r="F32">
        <v>0.4</v>
      </c>
      <c r="G32">
        <v>0.3</v>
      </c>
      <c r="H32">
        <v>0.2</v>
      </c>
      <c r="I32" s="86">
        <f t="shared" ca="1" si="2"/>
        <v>0.28999999999999998</v>
      </c>
      <c r="J32" s="86">
        <f t="shared" ca="1" si="3"/>
        <v>-0.28999999999999998</v>
      </c>
      <c r="K32" s="86">
        <f t="shared" ca="1" si="4"/>
        <v>-0.01</v>
      </c>
    </row>
    <row r="33" spans="1:11" x14ac:dyDescent="0.2">
      <c r="A33" t="s">
        <v>42</v>
      </c>
      <c r="B33" s="64">
        <v>0</v>
      </c>
      <c r="C33" s="87">
        <f t="shared" ca="1" si="0"/>
        <v>0.77</v>
      </c>
      <c r="D33" s="7" t="s">
        <v>147</v>
      </c>
      <c r="E33" s="88">
        <f t="shared" ca="1" si="1"/>
        <v>0.8</v>
      </c>
      <c r="F33">
        <v>0.4</v>
      </c>
      <c r="G33">
        <v>0.3</v>
      </c>
      <c r="H33">
        <v>0.2</v>
      </c>
      <c r="I33" s="86">
        <f t="shared" ca="1" si="2"/>
        <v>0.37</v>
      </c>
      <c r="J33" s="86">
        <f t="shared" ca="1" si="3"/>
        <v>0.17</v>
      </c>
      <c r="K33" s="86">
        <f t="shared" ca="1" si="4"/>
        <v>-0.18</v>
      </c>
    </row>
    <row r="34" spans="1:11" x14ac:dyDescent="0.2">
      <c r="A34" t="s">
        <v>43</v>
      </c>
      <c r="B34" s="64">
        <v>0</v>
      </c>
      <c r="C34" s="87">
        <f t="shared" ca="1" si="0"/>
        <v>0</v>
      </c>
      <c r="D34" s="7" t="s">
        <v>133</v>
      </c>
      <c r="E34" s="88">
        <f t="shared" ca="1" si="1"/>
        <v>0</v>
      </c>
      <c r="F34">
        <v>0.4</v>
      </c>
      <c r="G34">
        <v>0.3</v>
      </c>
      <c r="H34">
        <v>0.2</v>
      </c>
      <c r="I34" s="86">
        <f t="shared" ca="1" si="2"/>
        <v>-0.4</v>
      </c>
      <c r="J34" s="86">
        <f t="shared" ca="1" si="3"/>
        <v>-0.26</v>
      </c>
      <c r="K34" s="86">
        <f t="shared" ca="1" si="4"/>
        <v>-0.08</v>
      </c>
    </row>
    <row r="35" spans="1:11" x14ac:dyDescent="0.2">
      <c r="A35" t="s">
        <v>44</v>
      </c>
      <c r="B35" s="64">
        <v>0</v>
      </c>
      <c r="C35" s="87">
        <f t="shared" ca="1" si="0"/>
        <v>0.48000000000000004</v>
      </c>
      <c r="D35" s="7" t="s">
        <v>148</v>
      </c>
      <c r="E35" s="88">
        <f t="shared" ca="1" si="1"/>
        <v>0.5</v>
      </c>
      <c r="F35">
        <v>0.4</v>
      </c>
      <c r="G35">
        <v>0.3</v>
      </c>
      <c r="H35">
        <v>0.2</v>
      </c>
      <c r="I35" s="86">
        <f t="shared" ca="1" si="2"/>
        <v>0.08</v>
      </c>
      <c r="J35" s="86">
        <f t="shared" ca="1" si="3"/>
        <v>0.08</v>
      </c>
      <c r="K35" s="86">
        <f t="shared" ca="1" si="4"/>
        <v>0.19</v>
      </c>
    </row>
    <row r="36" spans="1:11" x14ac:dyDescent="0.2">
      <c r="A36" t="s">
        <v>45</v>
      </c>
      <c r="B36" s="64">
        <v>0</v>
      </c>
      <c r="C36" s="87">
        <f t="shared" ca="1" si="0"/>
        <v>0.51</v>
      </c>
      <c r="D36" s="7" t="s">
        <v>149</v>
      </c>
      <c r="E36" s="88">
        <f t="shared" ca="1" si="1"/>
        <v>0.5</v>
      </c>
      <c r="F36">
        <v>0.4</v>
      </c>
      <c r="G36">
        <v>0.3</v>
      </c>
      <c r="H36">
        <v>0.2</v>
      </c>
      <c r="I36" s="86">
        <f t="shared" ca="1" si="2"/>
        <v>0.11</v>
      </c>
      <c r="J36" s="86">
        <f t="shared" ca="1" si="3"/>
        <v>-0.11</v>
      </c>
      <c r="K36" s="86">
        <f t="shared" ca="1" si="4"/>
        <v>0.01</v>
      </c>
    </row>
    <row r="37" spans="1:11" x14ac:dyDescent="0.2">
      <c r="A37" t="s">
        <v>46</v>
      </c>
      <c r="B37" s="64">
        <v>0</v>
      </c>
      <c r="C37" s="87">
        <f t="shared" ca="1" si="0"/>
        <v>1.0000000000000009E-2</v>
      </c>
      <c r="D37" s="7" t="s">
        <v>133</v>
      </c>
      <c r="E37" s="88">
        <f t="shared" ca="1" si="1"/>
        <v>0</v>
      </c>
      <c r="F37">
        <v>0.4</v>
      </c>
      <c r="G37">
        <v>0.3</v>
      </c>
      <c r="H37">
        <v>0.2</v>
      </c>
      <c r="I37" s="86">
        <f t="shared" ca="1" si="2"/>
        <v>-0.39</v>
      </c>
      <c r="J37" s="86">
        <f t="shared" ca="1" si="3"/>
        <v>-0.13</v>
      </c>
      <c r="K37" s="86">
        <f t="shared" ca="1" si="4"/>
        <v>0.14000000000000001</v>
      </c>
    </row>
    <row r="38" spans="1:11" x14ac:dyDescent="0.2">
      <c r="A38" t="s">
        <v>47</v>
      </c>
      <c r="B38" s="64">
        <v>0</v>
      </c>
      <c r="C38" s="87">
        <f t="shared" ca="1" si="0"/>
        <v>0.58000000000000007</v>
      </c>
      <c r="D38" s="7" t="s">
        <v>133</v>
      </c>
      <c r="E38" s="88">
        <f t="shared" ca="1" si="1"/>
        <v>0.6</v>
      </c>
      <c r="F38">
        <v>0.4</v>
      </c>
      <c r="G38">
        <v>0.3</v>
      </c>
      <c r="H38">
        <v>0.2</v>
      </c>
      <c r="I38" s="86">
        <f t="shared" ca="1" si="2"/>
        <v>0.18</v>
      </c>
      <c r="J38" s="86">
        <f t="shared" ca="1" si="3"/>
        <v>0.08</v>
      </c>
      <c r="K38" s="86">
        <f t="shared" ca="1" si="4"/>
        <v>-0.04</v>
      </c>
    </row>
    <row r="39" spans="1:11" x14ac:dyDescent="0.2">
      <c r="A39" t="s">
        <v>48</v>
      </c>
      <c r="B39" s="64">
        <v>0</v>
      </c>
      <c r="C39" s="87">
        <f t="shared" ca="1" si="0"/>
        <v>0.76</v>
      </c>
      <c r="D39" s="7" t="s">
        <v>150</v>
      </c>
      <c r="E39" s="88">
        <f t="shared" ca="1" si="1"/>
        <v>0.8</v>
      </c>
      <c r="F39">
        <v>0.4</v>
      </c>
      <c r="G39">
        <v>0.3</v>
      </c>
      <c r="H39">
        <v>0.2</v>
      </c>
      <c r="I39" s="86">
        <f t="shared" ca="1" si="2"/>
        <v>0.36</v>
      </c>
      <c r="J39" s="86">
        <f t="shared" ca="1" si="3"/>
        <v>0.19</v>
      </c>
      <c r="K39" s="86">
        <f t="shared" ca="1" si="4"/>
        <v>-0.13</v>
      </c>
    </row>
    <row r="40" spans="1:11" x14ac:dyDescent="0.2">
      <c r="A40" t="s">
        <v>49</v>
      </c>
      <c r="B40" s="64">
        <v>0</v>
      </c>
      <c r="C40" s="87">
        <f t="shared" ca="1" si="0"/>
        <v>9.0000000000000024E-2</v>
      </c>
      <c r="D40" s="7" t="s">
        <v>133</v>
      </c>
      <c r="E40" s="88">
        <f t="shared" ca="1" si="1"/>
        <v>0.1</v>
      </c>
      <c r="F40">
        <v>0.4</v>
      </c>
      <c r="G40">
        <v>0.3</v>
      </c>
      <c r="H40">
        <v>0.2</v>
      </c>
      <c r="I40" s="86">
        <f t="shared" ca="1" si="2"/>
        <v>-0.31</v>
      </c>
      <c r="J40" s="86">
        <f t="shared" ca="1" si="3"/>
        <v>-0.11</v>
      </c>
      <c r="K40" s="86">
        <f t="shared" ca="1" si="4"/>
        <v>-0.01</v>
      </c>
    </row>
    <row r="41" spans="1:11" x14ac:dyDescent="0.2">
      <c r="A41" t="s">
        <v>50</v>
      </c>
      <c r="B41" s="64">
        <v>0</v>
      </c>
      <c r="C41" s="87">
        <f t="shared" ca="1" si="0"/>
        <v>0.38</v>
      </c>
      <c r="D41" s="7" t="s">
        <v>133</v>
      </c>
      <c r="E41" s="88">
        <f t="shared" ca="1" si="1"/>
        <v>0.4</v>
      </c>
      <c r="F41">
        <v>0.4</v>
      </c>
      <c r="G41">
        <v>0.3</v>
      </c>
      <c r="H41">
        <v>0.2</v>
      </c>
      <c r="I41" s="86">
        <f t="shared" ca="1" si="2"/>
        <v>-0.02</v>
      </c>
      <c r="J41" s="86">
        <f t="shared" ca="1" si="3"/>
        <v>0.28000000000000003</v>
      </c>
      <c r="K41" s="86">
        <f t="shared" ca="1" si="4"/>
        <v>0.11</v>
      </c>
    </row>
    <row r="42" spans="1:11" x14ac:dyDescent="0.2">
      <c r="A42" t="s">
        <v>51</v>
      </c>
      <c r="B42" s="64">
        <v>0</v>
      </c>
      <c r="C42" s="87">
        <f t="shared" ca="1" si="0"/>
        <v>0.15000000000000002</v>
      </c>
      <c r="D42" s="7" t="s">
        <v>133</v>
      </c>
      <c r="E42" s="88">
        <f t="shared" ca="1" si="1"/>
        <v>0.2</v>
      </c>
      <c r="F42">
        <v>0.4</v>
      </c>
      <c r="G42">
        <v>0.3</v>
      </c>
      <c r="H42">
        <v>0.2</v>
      </c>
      <c r="I42" s="86">
        <f t="shared" ca="1" si="2"/>
        <v>-0.25</v>
      </c>
      <c r="J42" s="86">
        <f t="shared" ca="1" si="3"/>
        <v>-0.12</v>
      </c>
      <c r="K42" s="86">
        <f t="shared" ca="1" si="4"/>
        <v>-0.05</v>
      </c>
    </row>
    <row r="43" spans="1:11" ht="15" x14ac:dyDescent="0.25">
      <c r="A43" t="s">
        <v>288</v>
      </c>
      <c r="B43" s="64">
        <v>0</v>
      </c>
      <c r="C43" s="87">
        <f t="shared" ca="1" si="0"/>
        <v>0.64</v>
      </c>
      <c r="D43" s="7" t="s">
        <v>133</v>
      </c>
      <c r="E43" s="88">
        <f t="shared" ca="1" si="1"/>
        <v>0.6</v>
      </c>
      <c r="F43">
        <v>0.4</v>
      </c>
      <c r="G43">
        <v>0.3</v>
      </c>
      <c r="H43">
        <v>0.2</v>
      </c>
      <c r="I43" s="86">
        <f t="shared" ca="1" si="2"/>
        <v>0.24</v>
      </c>
      <c r="J43" s="86">
        <f t="shared" ca="1" si="3"/>
        <v>0.18</v>
      </c>
      <c r="K43" s="86">
        <f t="shared" ca="1" si="4"/>
        <v>-0.13</v>
      </c>
    </row>
    <row r="44" spans="1:11" ht="15" x14ac:dyDescent="0.25">
      <c r="A44" t="s">
        <v>289</v>
      </c>
      <c r="B44" s="64">
        <v>0</v>
      </c>
      <c r="C44" s="87">
        <f t="shared" ca="1" si="0"/>
        <v>0.23</v>
      </c>
      <c r="D44" s="7" t="s">
        <v>133</v>
      </c>
      <c r="E44" s="88">
        <f t="shared" ca="1" si="1"/>
        <v>0.2</v>
      </c>
      <c r="F44">
        <v>0.4</v>
      </c>
      <c r="G44">
        <v>0.3</v>
      </c>
      <c r="H44">
        <v>0.2</v>
      </c>
      <c r="I44" s="86">
        <f t="shared" ca="1" si="2"/>
        <v>-0.17</v>
      </c>
      <c r="J44" s="86">
        <f t="shared" ca="1" si="3"/>
        <v>-0.04</v>
      </c>
      <c r="K44" s="86">
        <f t="shared" ca="1" si="4"/>
        <v>-0.2</v>
      </c>
    </row>
    <row r="45" spans="1:11" x14ac:dyDescent="0.2">
      <c r="A45" t="s">
        <v>54</v>
      </c>
      <c r="B45" s="64">
        <v>0</v>
      </c>
      <c r="C45" s="87">
        <f t="shared" ca="1" si="0"/>
        <v>0.69</v>
      </c>
      <c r="D45" s="7" t="s">
        <v>151</v>
      </c>
      <c r="E45" s="88">
        <f t="shared" ca="1" si="1"/>
        <v>0.7</v>
      </c>
      <c r="F45">
        <v>0.4</v>
      </c>
      <c r="G45">
        <v>0.3</v>
      </c>
      <c r="H45">
        <v>0.2</v>
      </c>
      <c r="I45" s="86">
        <f t="shared" ca="1" si="2"/>
        <v>0.28999999999999998</v>
      </c>
      <c r="J45" s="86">
        <f t="shared" ca="1" si="3"/>
        <v>0.28000000000000003</v>
      </c>
      <c r="K45" s="86">
        <f t="shared" ca="1" si="4"/>
        <v>0.19</v>
      </c>
    </row>
    <row r="46" spans="1:11" x14ac:dyDescent="0.2">
      <c r="A46" t="s">
        <v>55</v>
      </c>
      <c r="B46" s="64">
        <v>0</v>
      </c>
      <c r="C46" s="87">
        <f t="shared" ca="1" si="0"/>
        <v>0.24000000000000002</v>
      </c>
      <c r="D46" s="7" t="s">
        <v>152</v>
      </c>
      <c r="E46" s="88">
        <f t="shared" ca="1" si="1"/>
        <v>0.2</v>
      </c>
      <c r="F46">
        <v>0.4</v>
      </c>
      <c r="G46">
        <v>0.3</v>
      </c>
      <c r="H46">
        <v>0.2</v>
      </c>
      <c r="I46" s="86">
        <f t="shared" ca="1" si="2"/>
        <v>-0.16</v>
      </c>
      <c r="J46" s="86">
        <f t="shared" ca="1" si="3"/>
        <v>-0.03</v>
      </c>
      <c r="K46" s="86">
        <f t="shared" ca="1" si="4"/>
        <v>0.17</v>
      </c>
    </row>
    <row r="47" spans="1:11" x14ac:dyDescent="0.2">
      <c r="A47" t="s">
        <v>56</v>
      </c>
      <c r="B47" s="64">
        <v>0</v>
      </c>
      <c r="C47" s="87">
        <f t="shared" ca="1" si="0"/>
        <v>0.47000000000000003</v>
      </c>
      <c r="D47" s="7" t="s">
        <v>133</v>
      </c>
      <c r="E47" s="88">
        <f t="shared" ca="1" si="1"/>
        <v>0.5</v>
      </c>
      <c r="F47">
        <v>0.4</v>
      </c>
      <c r="G47">
        <v>0.3</v>
      </c>
      <c r="H47">
        <v>0.2</v>
      </c>
      <c r="I47" s="86">
        <f t="shared" ca="1" si="2"/>
        <v>7.0000000000000007E-2</v>
      </c>
      <c r="J47" s="86">
        <f t="shared" ca="1" si="3"/>
        <v>-0.18</v>
      </c>
      <c r="K47" s="86">
        <f t="shared" ca="1" si="4"/>
        <v>0</v>
      </c>
    </row>
    <row r="48" spans="1:11" x14ac:dyDescent="0.2">
      <c r="A48" t="s">
        <v>57</v>
      </c>
      <c r="B48" s="64">
        <v>0</v>
      </c>
      <c r="C48" s="87">
        <f t="shared" ca="1" si="0"/>
        <v>0.22000000000000003</v>
      </c>
      <c r="D48" s="7" t="s">
        <v>133</v>
      </c>
      <c r="E48" s="88">
        <f t="shared" ca="1" si="1"/>
        <v>0.2</v>
      </c>
      <c r="F48">
        <v>0.4</v>
      </c>
      <c r="G48">
        <v>0.3</v>
      </c>
      <c r="H48">
        <v>0.2</v>
      </c>
      <c r="I48" s="86">
        <f t="shared" ca="1" si="2"/>
        <v>-0.18</v>
      </c>
      <c r="J48" s="86">
        <f t="shared" ca="1" si="3"/>
        <v>-0.2</v>
      </c>
      <c r="K48" s="86">
        <f t="shared" ca="1" si="4"/>
        <v>0.12</v>
      </c>
    </row>
    <row r="49" spans="1:11" x14ac:dyDescent="0.2">
      <c r="A49" t="s">
        <v>58</v>
      </c>
      <c r="B49" s="64">
        <v>0</v>
      </c>
      <c r="C49" s="87">
        <f t="shared" ca="1" si="0"/>
        <v>0.57000000000000006</v>
      </c>
      <c r="D49" s="7" t="s">
        <v>153</v>
      </c>
      <c r="E49" s="88">
        <f t="shared" ca="1" si="1"/>
        <v>0.6</v>
      </c>
      <c r="F49">
        <v>0.4</v>
      </c>
      <c r="G49">
        <v>0.3</v>
      </c>
      <c r="H49">
        <v>0.2</v>
      </c>
      <c r="I49" s="86">
        <f t="shared" ca="1" si="2"/>
        <v>0.17</v>
      </c>
      <c r="J49" s="86">
        <f t="shared" ca="1" si="3"/>
        <v>-7.0000000000000007E-2</v>
      </c>
      <c r="K49" s="86">
        <f t="shared" ca="1" si="4"/>
        <v>0.14000000000000001</v>
      </c>
    </row>
    <row r="50" spans="1:11" x14ac:dyDescent="0.2">
      <c r="A50" t="s">
        <v>59</v>
      </c>
      <c r="B50" s="64">
        <v>0</v>
      </c>
      <c r="C50" s="87">
        <f t="shared" ca="1" si="0"/>
        <v>0.10000000000000003</v>
      </c>
      <c r="D50" s="7" t="s">
        <v>133</v>
      </c>
      <c r="E50" s="88">
        <f t="shared" ca="1" si="1"/>
        <v>0.1</v>
      </c>
      <c r="F50">
        <v>0.4</v>
      </c>
      <c r="G50">
        <v>0.3</v>
      </c>
      <c r="H50">
        <v>0.2</v>
      </c>
      <c r="I50" s="86">
        <f t="shared" ca="1" si="2"/>
        <v>-0.3</v>
      </c>
      <c r="J50" s="86">
        <f t="shared" ca="1" si="3"/>
        <v>-0.25</v>
      </c>
      <c r="K50" s="86">
        <f t="shared" ca="1" si="4"/>
        <v>-0.05</v>
      </c>
    </row>
    <row r="51" spans="1:11" x14ac:dyDescent="0.2">
      <c r="A51" t="s">
        <v>60</v>
      </c>
      <c r="B51" s="64">
        <v>1</v>
      </c>
      <c r="C51" s="87">
        <f t="shared" ca="1" si="0"/>
        <v>0.83</v>
      </c>
      <c r="D51" s="7" t="s">
        <v>154</v>
      </c>
      <c r="E51" s="88">
        <f t="shared" ca="1" si="1"/>
        <v>0.8</v>
      </c>
      <c r="F51">
        <v>0.6</v>
      </c>
      <c r="G51">
        <v>0.7</v>
      </c>
      <c r="H51">
        <v>0.8</v>
      </c>
      <c r="I51" s="86">
        <f t="shared" ca="1" si="2"/>
        <v>0.23</v>
      </c>
      <c r="J51" s="86">
        <f t="shared" ca="1" si="3"/>
        <v>0.04</v>
      </c>
      <c r="K51" s="86">
        <f t="shared" ca="1" si="4"/>
        <v>0</v>
      </c>
    </row>
    <row r="52" spans="1:11" x14ac:dyDescent="0.2">
      <c r="A52" t="s">
        <v>61</v>
      </c>
      <c r="B52" s="64">
        <v>1</v>
      </c>
      <c r="C52" s="87">
        <f t="shared" ca="1" si="0"/>
        <v>0.89999999999999991</v>
      </c>
      <c r="D52" s="7" t="s">
        <v>155</v>
      </c>
      <c r="E52" s="88">
        <f t="shared" ca="1" si="1"/>
        <v>0.9</v>
      </c>
      <c r="F52">
        <v>0.6</v>
      </c>
      <c r="G52">
        <v>0.7</v>
      </c>
      <c r="H52">
        <v>0.8</v>
      </c>
      <c r="I52" s="86">
        <f t="shared" ca="1" si="2"/>
        <v>0.3</v>
      </c>
      <c r="J52" s="86">
        <f t="shared" ca="1" si="3"/>
        <v>0.03</v>
      </c>
      <c r="K52" s="86">
        <f t="shared" ca="1" si="4"/>
        <v>0.03</v>
      </c>
    </row>
    <row r="53" spans="1:11" ht="15" x14ac:dyDescent="0.25">
      <c r="A53" t="s">
        <v>290</v>
      </c>
      <c r="B53" s="64">
        <v>1</v>
      </c>
      <c r="C53" s="87">
        <f t="shared" ca="1" si="0"/>
        <v>0.28999999999999998</v>
      </c>
      <c r="D53" s="7" t="s">
        <v>156</v>
      </c>
      <c r="E53" s="88">
        <f t="shared" ca="1" si="1"/>
        <v>0.3</v>
      </c>
      <c r="F53">
        <v>0.6</v>
      </c>
      <c r="G53">
        <v>0.7</v>
      </c>
      <c r="H53">
        <v>0.8</v>
      </c>
      <c r="I53" s="86">
        <f t="shared" ca="1" si="2"/>
        <v>-0.31</v>
      </c>
      <c r="J53" s="86">
        <f t="shared" ca="1" si="3"/>
        <v>-0.02</v>
      </c>
      <c r="K53" s="86">
        <f t="shared" ca="1" si="4"/>
        <v>-0.13</v>
      </c>
    </row>
    <row r="54" spans="1:11" x14ac:dyDescent="0.2">
      <c r="A54" t="s">
        <v>63</v>
      </c>
      <c r="B54" s="64">
        <v>1</v>
      </c>
      <c r="C54" s="87">
        <f t="shared" ca="1" si="0"/>
        <v>0.79</v>
      </c>
      <c r="D54" s="7" t="s">
        <v>157</v>
      </c>
      <c r="E54" s="88">
        <f t="shared" ca="1" si="1"/>
        <v>0.8</v>
      </c>
      <c r="F54">
        <v>0.6</v>
      </c>
      <c r="G54">
        <v>0.7</v>
      </c>
      <c r="H54">
        <v>0.8</v>
      </c>
      <c r="I54" s="86">
        <f t="shared" ca="1" si="2"/>
        <v>0.19</v>
      </c>
      <c r="J54" s="86">
        <f t="shared" ca="1" si="3"/>
        <v>-0.1</v>
      </c>
      <c r="K54" s="86">
        <f t="shared" ca="1" si="4"/>
        <v>-0.06</v>
      </c>
    </row>
    <row r="55" spans="1:11" x14ac:dyDescent="0.2">
      <c r="A55" t="s">
        <v>64</v>
      </c>
      <c r="B55" s="64">
        <v>1</v>
      </c>
      <c r="C55" s="87">
        <f t="shared" ca="1" si="0"/>
        <v>0.94</v>
      </c>
      <c r="D55" s="7" t="s">
        <v>158</v>
      </c>
      <c r="E55" s="88">
        <f t="shared" ca="1" si="1"/>
        <v>0.9</v>
      </c>
      <c r="F55">
        <v>0.6</v>
      </c>
      <c r="G55">
        <v>0.7</v>
      </c>
      <c r="H55">
        <v>0.8</v>
      </c>
      <c r="I55" s="86">
        <f t="shared" ca="1" si="2"/>
        <v>0.34</v>
      </c>
      <c r="J55" s="86">
        <f t="shared" ca="1" si="3"/>
        <v>0.03</v>
      </c>
      <c r="K55" s="86">
        <f t="shared" ca="1" si="4"/>
        <v>-0.06</v>
      </c>
    </row>
    <row r="56" spans="1:11" x14ac:dyDescent="0.2">
      <c r="A56" t="s">
        <v>65</v>
      </c>
      <c r="B56" s="64">
        <v>1</v>
      </c>
      <c r="C56" s="87">
        <f t="shared" ca="1" si="0"/>
        <v>0.20999999999999996</v>
      </c>
      <c r="D56" s="7" t="s">
        <v>159</v>
      </c>
      <c r="E56" s="88">
        <f t="shared" ca="1" si="1"/>
        <v>0.2</v>
      </c>
      <c r="F56">
        <v>0.6</v>
      </c>
      <c r="G56">
        <v>0.7</v>
      </c>
      <c r="H56">
        <v>0.8</v>
      </c>
      <c r="I56" s="86">
        <f t="shared" ca="1" si="2"/>
        <v>-0.39</v>
      </c>
      <c r="J56" s="86">
        <f t="shared" ca="1" si="3"/>
        <v>-0.14000000000000001</v>
      </c>
      <c r="K56" s="86">
        <f t="shared" ca="1" si="4"/>
        <v>0.11</v>
      </c>
    </row>
    <row r="57" spans="1:11" x14ac:dyDescent="0.2">
      <c r="A57" t="s">
        <v>66</v>
      </c>
      <c r="B57" s="64">
        <v>1</v>
      </c>
      <c r="C57" s="87">
        <f t="shared" ca="1" si="0"/>
        <v>0.25999999999999995</v>
      </c>
      <c r="D57" s="7" t="s">
        <v>160</v>
      </c>
      <c r="E57" s="88">
        <f t="shared" ca="1" si="1"/>
        <v>0.3</v>
      </c>
      <c r="F57">
        <v>0.6</v>
      </c>
      <c r="G57">
        <v>0.7</v>
      </c>
      <c r="H57">
        <v>0.8</v>
      </c>
      <c r="I57" s="86">
        <f t="shared" ca="1" si="2"/>
        <v>-0.34</v>
      </c>
      <c r="J57" s="86">
        <f t="shared" ca="1" si="3"/>
        <v>0</v>
      </c>
      <c r="K57" s="86">
        <f t="shared" ca="1" si="4"/>
        <v>7.0000000000000007E-2</v>
      </c>
    </row>
    <row r="58" spans="1:11" x14ac:dyDescent="0.2">
      <c r="A58" t="s">
        <v>67</v>
      </c>
      <c r="B58" s="64">
        <v>1</v>
      </c>
      <c r="C58" s="87">
        <f t="shared" ca="1" si="0"/>
        <v>0.61</v>
      </c>
      <c r="D58" s="7" t="s">
        <v>133</v>
      </c>
      <c r="E58" s="88">
        <f t="shared" ca="1" si="1"/>
        <v>0.6</v>
      </c>
      <c r="F58">
        <v>0.6</v>
      </c>
      <c r="G58">
        <v>0.7</v>
      </c>
      <c r="H58">
        <v>0.8</v>
      </c>
      <c r="I58" s="86">
        <f t="shared" ca="1" si="2"/>
        <v>0.01</v>
      </c>
      <c r="J58" s="86">
        <f t="shared" ca="1" si="3"/>
        <v>-0.19</v>
      </c>
      <c r="K58" s="86">
        <f t="shared" ca="1" si="4"/>
        <v>-0.06</v>
      </c>
    </row>
    <row r="59" spans="1:11" x14ac:dyDescent="0.2">
      <c r="A59" t="s">
        <v>68</v>
      </c>
      <c r="B59" s="64">
        <v>1</v>
      </c>
      <c r="C59" s="87">
        <f t="shared" ca="1" si="0"/>
        <v>0.31999999999999995</v>
      </c>
      <c r="D59" s="7" t="s">
        <v>133</v>
      </c>
      <c r="E59" s="88">
        <f t="shared" ca="1" si="1"/>
        <v>0.3</v>
      </c>
      <c r="F59">
        <v>0.6</v>
      </c>
      <c r="G59">
        <v>0.7</v>
      </c>
      <c r="H59">
        <v>0.8</v>
      </c>
      <c r="I59" s="86">
        <f t="shared" ca="1" si="2"/>
        <v>-0.28000000000000003</v>
      </c>
      <c r="J59" s="86">
        <f t="shared" ca="1" si="3"/>
        <v>-0.25</v>
      </c>
      <c r="K59" s="86">
        <f t="shared" ca="1" si="4"/>
        <v>-7.0000000000000007E-2</v>
      </c>
    </row>
    <row r="60" spans="1:11" ht="15" x14ac:dyDescent="0.25">
      <c r="A60" t="s">
        <v>291</v>
      </c>
      <c r="B60" s="64">
        <v>1</v>
      </c>
      <c r="C60" s="87">
        <f t="shared" ca="1" si="0"/>
        <v>0.66999999999999993</v>
      </c>
      <c r="D60" s="7" t="s">
        <v>133</v>
      </c>
      <c r="E60" s="88">
        <f t="shared" ca="1" si="1"/>
        <v>0.7</v>
      </c>
      <c r="F60">
        <v>0.6</v>
      </c>
      <c r="G60">
        <v>0.7</v>
      </c>
      <c r="H60">
        <v>0.8</v>
      </c>
      <c r="I60" s="86">
        <f t="shared" ca="1" si="2"/>
        <v>7.0000000000000007E-2</v>
      </c>
      <c r="J60" s="86">
        <f t="shared" ca="1" si="3"/>
        <v>-0.28000000000000003</v>
      </c>
      <c r="K60" s="86">
        <f t="shared" ca="1" si="4"/>
        <v>0.12</v>
      </c>
    </row>
    <row r="61" spans="1:11" ht="15" x14ac:dyDescent="0.25">
      <c r="A61" t="s">
        <v>292</v>
      </c>
      <c r="B61" s="64">
        <v>1</v>
      </c>
      <c r="C61" s="87">
        <f t="shared" ca="1" si="0"/>
        <v>0.42999999999999994</v>
      </c>
      <c r="D61" s="7" t="s">
        <v>161</v>
      </c>
      <c r="E61" s="88">
        <f t="shared" ca="1" si="1"/>
        <v>0.4</v>
      </c>
      <c r="F61">
        <v>0.6</v>
      </c>
      <c r="G61">
        <v>0.7</v>
      </c>
      <c r="H61">
        <v>0.8</v>
      </c>
      <c r="I61" s="86">
        <f t="shared" ca="1" si="2"/>
        <v>-0.17</v>
      </c>
      <c r="J61" s="86">
        <f t="shared" ca="1" si="3"/>
        <v>0.14000000000000001</v>
      </c>
      <c r="K61" s="86">
        <f t="shared" ca="1" si="4"/>
        <v>-0.19</v>
      </c>
    </row>
    <row r="62" spans="1:11" ht="15" x14ac:dyDescent="0.25">
      <c r="A62" t="s">
        <v>293</v>
      </c>
      <c r="B62" s="64">
        <v>1</v>
      </c>
      <c r="C62" s="87">
        <f t="shared" ca="1" si="0"/>
        <v>0.75</v>
      </c>
      <c r="D62" s="7" t="s">
        <v>133</v>
      </c>
      <c r="E62" s="88">
        <f t="shared" ca="1" si="1"/>
        <v>0.8</v>
      </c>
      <c r="F62">
        <v>0.6</v>
      </c>
      <c r="G62">
        <v>0.7</v>
      </c>
      <c r="H62">
        <v>0.8</v>
      </c>
      <c r="I62" s="86">
        <f t="shared" ca="1" si="2"/>
        <v>0.15</v>
      </c>
      <c r="J62" s="86">
        <f t="shared" ca="1" si="3"/>
        <v>-0.03</v>
      </c>
      <c r="K62" s="86">
        <f t="shared" ca="1" si="4"/>
        <v>-0.1</v>
      </c>
    </row>
    <row r="63" spans="1:11" x14ac:dyDescent="0.2">
      <c r="A63" t="s">
        <v>72</v>
      </c>
      <c r="B63" s="64">
        <v>1</v>
      </c>
      <c r="C63" s="87">
        <f t="shared" ca="1" si="0"/>
        <v>0.8</v>
      </c>
      <c r="D63" s="7" t="s">
        <v>133</v>
      </c>
      <c r="E63" s="88">
        <f t="shared" ca="1" si="1"/>
        <v>0.8</v>
      </c>
      <c r="F63">
        <v>0.6</v>
      </c>
      <c r="G63">
        <v>0.7</v>
      </c>
      <c r="H63">
        <v>0.8</v>
      </c>
      <c r="I63" s="86">
        <f t="shared" ca="1" si="2"/>
        <v>0.2</v>
      </c>
      <c r="J63" s="86">
        <f t="shared" ca="1" si="3"/>
        <v>7.0000000000000007E-2</v>
      </c>
      <c r="K63" s="86">
        <f t="shared" ca="1" si="4"/>
        <v>0.12</v>
      </c>
    </row>
    <row r="64" spans="1:11" x14ac:dyDescent="0.2">
      <c r="A64" t="s">
        <v>73</v>
      </c>
      <c r="B64" s="64">
        <v>1</v>
      </c>
      <c r="C64" s="87">
        <f t="shared" ca="1" si="0"/>
        <v>0.28999999999999998</v>
      </c>
      <c r="D64" s="7" t="s">
        <v>162</v>
      </c>
      <c r="E64" s="88">
        <f t="shared" ca="1" si="1"/>
        <v>0.3</v>
      </c>
      <c r="F64">
        <v>0.6</v>
      </c>
      <c r="G64">
        <v>0.7</v>
      </c>
      <c r="H64">
        <v>0.8</v>
      </c>
      <c r="I64" s="86">
        <f t="shared" ca="1" si="2"/>
        <v>-0.31</v>
      </c>
      <c r="J64" s="86">
        <f t="shared" ca="1" si="3"/>
        <v>-0.08</v>
      </c>
      <c r="K64" s="86">
        <f t="shared" ca="1" si="4"/>
        <v>0.17</v>
      </c>
    </row>
    <row r="65" spans="1:11" ht="15" x14ac:dyDescent="0.25">
      <c r="A65" t="s">
        <v>294</v>
      </c>
      <c r="B65" s="64">
        <v>1</v>
      </c>
      <c r="C65" s="87">
        <f t="shared" ca="1" si="0"/>
        <v>0.80999999999999994</v>
      </c>
      <c r="D65" s="7" t="s">
        <v>163</v>
      </c>
      <c r="E65" s="88">
        <f t="shared" ca="1" si="1"/>
        <v>0.8</v>
      </c>
      <c r="F65">
        <v>0.6</v>
      </c>
      <c r="G65">
        <v>0.7</v>
      </c>
      <c r="H65">
        <v>0.8</v>
      </c>
      <c r="I65" s="86">
        <f t="shared" ca="1" si="2"/>
        <v>0.21</v>
      </c>
      <c r="J65" s="86">
        <f t="shared" ca="1" si="3"/>
        <v>0.05</v>
      </c>
      <c r="K65" s="86">
        <f t="shared" ca="1" si="4"/>
        <v>0.09</v>
      </c>
    </row>
    <row r="66" spans="1:11" x14ac:dyDescent="0.2">
      <c r="A66" t="s">
        <v>75</v>
      </c>
      <c r="B66" s="64">
        <v>1</v>
      </c>
      <c r="C66" s="87">
        <f t="shared" ca="1" si="0"/>
        <v>0.66999999999999993</v>
      </c>
      <c r="D66" s="7" t="s">
        <v>133</v>
      </c>
      <c r="E66" s="88">
        <f t="shared" ca="1" si="1"/>
        <v>0.7</v>
      </c>
      <c r="F66">
        <v>0.6</v>
      </c>
      <c r="G66">
        <v>0.7</v>
      </c>
      <c r="H66">
        <v>0.8</v>
      </c>
      <c r="I66" s="86">
        <f t="shared" ca="1" si="2"/>
        <v>7.0000000000000007E-2</v>
      </c>
      <c r="J66" s="86">
        <f t="shared" ca="1" si="3"/>
        <v>0.13</v>
      </c>
      <c r="K66" s="86">
        <f t="shared" ca="1" si="4"/>
        <v>0.12</v>
      </c>
    </row>
    <row r="67" spans="1:11" x14ac:dyDescent="0.2">
      <c r="A67" t="s">
        <v>76</v>
      </c>
      <c r="B67" s="64">
        <v>1</v>
      </c>
      <c r="C67" s="87">
        <f t="shared" ref="C67:C101" ca="1" si="5">F67+I67</f>
        <v>0.84</v>
      </c>
      <c r="D67" s="7" t="s">
        <v>133</v>
      </c>
      <c r="E67" s="88">
        <f t="shared" ref="E67:E101" ca="1" si="6">ROUND(C67, 1)</f>
        <v>0.8</v>
      </c>
      <c r="F67">
        <v>0.6</v>
      </c>
      <c r="G67">
        <v>0.7</v>
      </c>
      <c r="H67">
        <v>0.8</v>
      </c>
      <c r="I67" s="86">
        <f t="shared" ref="I67:I101" ca="1" si="7">RANDBETWEEN(-40,40)/100</f>
        <v>0.24</v>
      </c>
      <c r="J67" s="86">
        <f t="shared" ref="J67:J101" ca="1" si="8">RANDBETWEEN(-30,30)/100</f>
        <v>0.05</v>
      </c>
      <c r="K67" s="86">
        <f t="shared" ref="K67:K101" ca="1" si="9">RANDBETWEEN(-20,20)/100</f>
        <v>0.16</v>
      </c>
    </row>
    <row r="68" spans="1:11" ht="15" x14ac:dyDescent="0.25">
      <c r="A68" t="s">
        <v>295</v>
      </c>
      <c r="B68" s="64">
        <v>1</v>
      </c>
      <c r="C68" s="87">
        <f t="shared" ca="1" si="5"/>
        <v>0.96</v>
      </c>
      <c r="D68" s="7" t="s">
        <v>133</v>
      </c>
      <c r="E68" s="88">
        <f t="shared" ca="1" si="6"/>
        <v>1</v>
      </c>
      <c r="F68">
        <v>0.6</v>
      </c>
      <c r="G68">
        <v>0.7</v>
      </c>
      <c r="H68">
        <v>0.8</v>
      </c>
      <c r="I68" s="86">
        <f t="shared" ca="1" si="7"/>
        <v>0.36</v>
      </c>
      <c r="J68" s="86">
        <f t="shared" ca="1" si="8"/>
        <v>0.19</v>
      </c>
      <c r="K68" s="86">
        <f t="shared" ca="1" si="9"/>
        <v>-0.11</v>
      </c>
    </row>
    <row r="69" spans="1:11" x14ac:dyDescent="0.2">
      <c r="A69" t="s">
        <v>78</v>
      </c>
      <c r="B69" s="64">
        <v>1</v>
      </c>
      <c r="C69" s="87">
        <f t="shared" ca="1" si="5"/>
        <v>0.82</v>
      </c>
      <c r="D69" s="7" t="s">
        <v>164</v>
      </c>
      <c r="E69" s="88">
        <f t="shared" ca="1" si="6"/>
        <v>0.8</v>
      </c>
      <c r="F69">
        <v>0.6</v>
      </c>
      <c r="G69">
        <v>0.7</v>
      </c>
      <c r="H69">
        <v>0.8</v>
      </c>
      <c r="I69" s="86">
        <f t="shared" ca="1" si="7"/>
        <v>0.22</v>
      </c>
      <c r="J69" s="86">
        <f t="shared" ca="1" si="8"/>
        <v>-0.09</v>
      </c>
      <c r="K69" s="86">
        <f t="shared" ca="1" si="9"/>
        <v>0.11</v>
      </c>
    </row>
    <row r="70" spans="1:11" x14ac:dyDescent="0.2">
      <c r="A70" t="s">
        <v>79</v>
      </c>
      <c r="B70" s="64">
        <v>1</v>
      </c>
      <c r="C70" s="87">
        <f t="shared" ca="1" si="5"/>
        <v>0.95</v>
      </c>
      <c r="D70" s="7" t="s">
        <v>133</v>
      </c>
      <c r="E70" s="88">
        <f t="shared" ca="1" si="6"/>
        <v>1</v>
      </c>
      <c r="F70">
        <v>0.6</v>
      </c>
      <c r="G70">
        <v>0.7</v>
      </c>
      <c r="H70">
        <v>0.8</v>
      </c>
      <c r="I70" s="86">
        <f t="shared" ca="1" si="7"/>
        <v>0.35</v>
      </c>
      <c r="J70" s="86">
        <f t="shared" ca="1" si="8"/>
        <v>-0.13</v>
      </c>
      <c r="K70" s="86">
        <f t="shared" ca="1" si="9"/>
        <v>-0.18</v>
      </c>
    </row>
    <row r="71" spans="1:11" ht="15" x14ac:dyDescent="0.25">
      <c r="A71" t="s">
        <v>296</v>
      </c>
      <c r="B71" s="64">
        <v>1</v>
      </c>
      <c r="C71" s="87">
        <f t="shared" ca="1" si="5"/>
        <v>0.36</v>
      </c>
      <c r="D71" s="7" t="s">
        <v>133</v>
      </c>
      <c r="E71" s="88">
        <f t="shared" ca="1" si="6"/>
        <v>0.4</v>
      </c>
      <c r="F71">
        <v>0.6</v>
      </c>
      <c r="G71">
        <v>0.7</v>
      </c>
      <c r="H71">
        <v>0.8</v>
      </c>
      <c r="I71" s="86">
        <f t="shared" ca="1" si="7"/>
        <v>-0.24</v>
      </c>
      <c r="J71" s="86">
        <f t="shared" ca="1" si="8"/>
        <v>0.24</v>
      </c>
      <c r="K71" s="86">
        <f t="shared" ca="1" si="9"/>
        <v>0.05</v>
      </c>
    </row>
    <row r="72" spans="1:11" x14ac:dyDescent="0.2">
      <c r="A72" t="s">
        <v>81</v>
      </c>
      <c r="B72" s="64">
        <v>1</v>
      </c>
      <c r="C72" s="87">
        <f t="shared" ca="1" si="5"/>
        <v>0.64</v>
      </c>
      <c r="D72" s="7" t="s">
        <v>133</v>
      </c>
      <c r="E72" s="88">
        <f t="shared" ca="1" si="6"/>
        <v>0.6</v>
      </c>
      <c r="F72">
        <v>0.6</v>
      </c>
      <c r="G72">
        <v>0.7</v>
      </c>
      <c r="H72">
        <v>0.8</v>
      </c>
      <c r="I72" s="86">
        <f t="shared" ca="1" si="7"/>
        <v>0.04</v>
      </c>
      <c r="J72" s="86">
        <f t="shared" ca="1" si="8"/>
        <v>0.13</v>
      </c>
      <c r="K72" s="86">
        <f t="shared" ca="1" si="9"/>
        <v>0.13</v>
      </c>
    </row>
    <row r="73" spans="1:11" ht="15" x14ac:dyDescent="0.25">
      <c r="A73" s="81" t="s">
        <v>297</v>
      </c>
      <c r="B73" s="64">
        <v>1</v>
      </c>
      <c r="C73" s="87">
        <f t="shared" ca="1" si="5"/>
        <v>0.65999999999999992</v>
      </c>
      <c r="D73" s="7" t="s">
        <v>165</v>
      </c>
      <c r="E73" s="88">
        <f t="shared" ca="1" si="6"/>
        <v>0.7</v>
      </c>
      <c r="F73">
        <v>0.6</v>
      </c>
      <c r="G73">
        <v>0.7</v>
      </c>
      <c r="H73">
        <v>0.8</v>
      </c>
      <c r="I73" s="86">
        <f t="shared" ca="1" si="7"/>
        <v>0.06</v>
      </c>
      <c r="J73" s="86">
        <f t="shared" ca="1" si="8"/>
        <v>0.03</v>
      </c>
      <c r="K73" s="86">
        <f t="shared" ca="1" si="9"/>
        <v>-0.08</v>
      </c>
    </row>
    <row r="74" spans="1:11" ht="15" x14ac:dyDescent="0.25">
      <c r="A74" s="81" t="s">
        <v>298</v>
      </c>
      <c r="B74" s="64">
        <v>1</v>
      </c>
      <c r="C74" s="87">
        <f t="shared" ca="1" si="5"/>
        <v>0.97</v>
      </c>
      <c r="D74" s="7" t="s">
        <v>166</v>
      </c>
      <c r="E74" s="88">
        <f t="shared" ca="1" si="6"/>
        <v>1</v>
      </c>
      <c r="F74">
        <v>0.6</v>
      </c>
      <c r="G74">
        <v>0.7</v>
      </c>
      <c r="H74">
        <v>0.8</v>
      </c>
      <c r="I74" s="86">
        <f t="shared" ca="1" si="7"/>
        <v>0.37</v>
      </c>
      <c r="J74" s="86">
        <f t="shared" ca="1" si="8"/>
        <v>0.16</v>
      </c>
      <c r="K74" s="86">
        <f t="shared" ca="1" si="9"/>
        <v>-0.08</v>
      </c>
    </row>
    <row r="75" spans="1:11" x14ac:dyDescent="0.2">
      <c r="A75" t="s">
        <v>84</v>
      </c>
      <c r="B75" s="64">
        <v>1</v>
      </c>
      <c r="C75" s="87">
        <f t="shared" ca="1" si="5"/>
        <v>0.67999999999999994</v>
      </c>
      <c r="D75" s="7" t="s">
        <v>167</v>
      </c>
      <c r="E75" s="88">
        <f t="shared" ca="1" si="6"/>
        <v>0.7</v>
      </c>
      <c r="F75">
        <v>0.6</v>
      </c>
      <c r="G75">
        <v>0.7</v>
      </c>
      <c r="H75">
        <v>0.8</v>
      </c>
      <c r="I75" s="86">
        <f t="shared" ca="1" si="7"/>
        <v>0.08</v>
      </c>
      <c r="J75" s="86">
        <f t="shared" ca="1" si="8"/>
        <v>0.28999999999999998</v>
      </c>
      <c r="K75" s="86">
        <f t="shared" ca="1" si="9"/>
        <v>0</v>
      </c>
    </row>
    <row r="76" spans="1:11" x14ac:dyDescent="0.2">
      <c r="A76" t="s">
        <v>85</v>
      </c>
      <c r="B76" s="64">
        <v>1</v>
      </c>
      <c r="C76" s="87">
        <f t="shared" ca="1" si="5"/>
        <v>0.20999999999999996</v>
      </c>
      <c r="D76" s="7" t="s">
        <v>168</v>
      </c>
      <c r="E76" s="88">
        <f t="shared" ca="1" si="6"/>
        <v>0.2</v>
      </c>
      <c r="F76">
        <v>0.6</v>
      </c>
      <c r="G76">
        <v>0.7</v>
      </c>
      <c r="H76">
        <v>0.8</v>
      </c>
      <c r="I76" s="86">
        <f t="shared" ca="1" si="7"/>
        <v>-0.39</v>
      </c>
      <c r="J76" s="86">
        <f t="shared" ca="1" si="8"/>
        <v>-0.18</v>
      </c>
      <c r="K76" s="86">
        <f t="shared" ca="1" si="9"/>
        <v>0.17</v>
      </c>
    </row>
    <row r="77" spans="1:11" x14ac:dyDescent="0.2">
      <c r="A77" t="s">
        <v>86</v>
      </c>
      <c r="B77" s="64">
        <v>1</v>
      </c>
      <c r="C77" s="87">
        <f t="shared" ca="1" si="5"/>
        <v>0.28999999999999998</v>
      </c>
      <c r="D77" s="7" t="s">
        <v>169</v>
      </c>
      <c r="E77" s="88">
        <f t="shared" ca="1" si="6"/>
        <v>0.3</v>
      </c>
      <c r="F77">
        <v>0.6</v>
      </c>
      <c r="G77">
        <v>0.7</v>
      </c>
      <c r="H77">
        <v>0.8</v>
      </c>
      <c r="I77" s="86">
        <f t="shared" ca="1" si="7"/>
        <v>-0.31</v>
      </c>
      <c r="J77" s="86">
        <f t="shared" ca="1" si="8"/>
        <v>0.03</v>
      </c>
      <c r="K77" s="86">
        <f t="shared" ca="1" si="9"/>
        <v>0.1</v>
      </c>
    </row>
    <row r="78" spans="1:11" x14ac:dyDescent="0.2">
      <c r="A78" t="s">
        <v>87</v>
      </c>
      <c r="B78" s="64">
        <v>1</v>
      </c>
      <c r="C78" s="87">
        <f t="shared" ca="1" si="5"/>
        <v>0.42999999999999994</v>
      </c>
      <c r="D78" s="7" t="s">
        <v>170</v>
      </c>
      <c r="E78" s="88">
        <f t="shared" ca="1" si="6"/>
        <v>0.4</v>
      </c>
      <c r="F78">
        <v>0.6</v>
      </c>
      <c r="G78">
        <v>0.7</v>
      </c>
      <c r="H78">
        <v>0.8</v>
      </c>
      <c r="I78" s="86">
        <f t="shared" ca="1" si="7"/>
        <v>-0.17</v>
      </c>
      <c r="J78" s="86">
        <f t="shared" ca="1" si="8"/>
        <v>0.11</v>
      </c>
      <c r="K78" s="86">
        <f t="shared" ca="1" si="9"/>
        <v>0.2</v>
      </c>
    </row>
    <row r="79" spans="1:11" ht="15" x14ac:dyDescent="0.25">
      <c r="A79" t="s">
        <v>299</v>
      </c>
      <c r="B79" s="64">
        <v>1</v>
      </c>
      <c r="C79" s="87">
        <f t="shared" ca="1" si="5"/>
        <v>0.33999999999999997</v>
      </c>
      <c r="D79" s="7" t="s">
        <v>171</v>
      </c>
      <c r="E79" s="88">
        <f t="shared" ca="1" si="6"/>
        <v>0.3</v>
      </c>
      <c r="F79">
        <v>0.6</v>
      </c>
      <c r="G79">
        <v>0.7</v>
      </c>
      <c r="H79">
        <v>0.8</v>
      </c>
      <c r="I79" s="86">
        <f t="shared" ca="1" si="7"/>
        <v>-0.26</v>
      </c>
      <c r="J79" s="86">
        <f t="shared" ca="1" si="8"/>
        <v>-0.15</v>
      </c>
      <c r="K79" s="86">
        <f t="shared" ca="1" si="9"/>
        <v>-0.11</v>
      </c>
    </row>
    <row r="80" spans="1:11" x14ac:dyDescent="0.2">
      <c r="A80" t="s">
        <v>89</v>
      </c>
      <c r="B80" s="64">
        <v>1</v>
      </c>
      <c r="C80" s="87">
        <f t="shared" ca="1" si="5"/>
        <v>0.91999999999999993</v>
      </c>
      <c r="D80" s="7" t="s">
        <v>172</v>
      </c>
      <c r="E80" s="88">
        <f t="shared" ca="1" si="6"/>
        <v>0.9</v>
      </c>
      <c r="F80">
        <v>0.6</v>
      </c>
      <c r="G80">
        <v>0.7</v>
      </c>
      <c r="H80">
        <v>0.8</v>
      </c>
      <c r="I80" s="86">
        <f t="shared" ca="1" si="7"/>
        <v>0.32</v>
      </c>
      <c r="J80" s="86">
        <f t="shared" ca="1" si="8"/>
        <v>-0.28000000000000003</v>
      </c>
      <c r="K80" s="86">
        <f t="shared" ca="1" si="9"/>
        <v>0.08</v>
      </c>
    </row>
    <row r="81" spans="1:11" x14ac:dyDescent="0.2">
      <c r="A81" t="s">
        <v>90</v>
      </c>
      <c r="B81" s="64">
        <v>1</v>
      </c>
      <c r="C81" s="87">
        <f t="shared" ca="1" si="5"/>
        <v>0.19999999999999996</v>
      </c>
      <c r="D81" s="7" t="s">
        <v>133</v>
      </c>
      <c r="E81" s="88">
        <f t="shared" ca="1" si="6"/>
        <v>0.2</v>
      </c>
      <c r="F81">
        <v>0.6</v>
      </c>
      <c r="G81">
        <v>0.7</v>
      </c>
      <c r="H81">
        <v>0.8</v>
      </c>
      <c r="I81" s="86">
        <f t="shared" ca="1" si="7"/>
        <v>-0.4</v>
      </c>
      <c r="J81" s="86">
        <f t="shared" ca="1" si="8"/>
        <v>-0.04</v>
      </c>
      <c r="K81" s="86">
        <f t="shared" ca="1" si="9"/>
        <v>-0.13</v>
      </c>
    </row>
    <row r="82" spans="1:11" ht="15" x14ac:dyDescent="0.25">
      <c r="A82" t="s">
        <v>300</v>
      </c>
      <c r="B82" s="64">
        <v>1</v>
      </c>
      <c r="C82" s="87">
        <f t="shared" ca="1" si="5"/>
        <v>0.84</v>
      </c>
      <c r="D82" s="7" t="s">
        <v>173</v>
      </c>
      <c r="E82" s="88">
        <f t="shared" ca="1" si="6"/>
        <v>0.8</v>
      </c>
      <c r="F82">
        <v>0.6</v>
      </c>
      <c r="G82">
        <v>0.7</v>
      </c>
      <c r="H82">
        <v>0.8</v>
      </c>
      <c r="I82" s="86">
        <f t="shared" ca="1" si="7"/>
        <v>0.24</v>
      </c>
      <c r="J82" s="86">
        <f t="shared" ca="1" si="8"/>
        <v>-0.23</v>
      </c>
      <c r="K82" s="86">
        <f t="shared" ca="1" si="9"/>
        <v>-0.19</v>
      </c>
    </row>
    <row r="83" spans="1:11" x14ac:dyDescent="0.2">
      <c r="A83" t="s">
        <v>92</v>
      </c>
      <c r="B83" s="64">
        <v>1</v>
      </c>
      <c r="C83" s="87">
        <f t="shared" ca="1" si="5"/>
        <v>0.25999999999999995</v>
      </c>
      <c r="D83" s="7" t="s">
        <v>174</v>
      </c>
      <c r="E83" s="88">
        <f t="shared" ca="1" si="6"/>
        <v>0.3</v>
      </c>
      <c r="F83">
        <v>0.6</v>
      </c>
      <c r="G83">
        <v>0.7</v>
      </c>
      <c r="H83">
        <v>0.8</v>
      </c>
      <c r="I83" s="86">
        <f t="shared" ca="1" si="7"/>
        <v>-0.34</v>
      </c>
      <c r="J83" s="86">
        <f t="shared" ca="1" si="8"/>
        <v>0.02</v>
      </c>
      <c r="K83" s="86">
        <f t="shared" ca="1" si="9"/>
        <v>-0.13</v>
      </c>
    </row>
    <row r="84" spans="1:11" x14ac:dyDescent="0.2">
      <c r="A84" t="s">
        <v>93</v>
      </c>
      <c r="B84" s="64">
        <v>1</v>
      </c>
      <c r="C84" s="87">
        <f t="shared" ca="1" si="5"/>
        <v>0.43999999999999995</v>
      </c>
      <c r="D84" s="7" t="s">
        <v>175</v>
      </c>
      <c r="E84" s="88">
        <f t="shared" ca="1" si="6"/>
        <v>0.4</v>
      </c>
      <c r="F84">
        <v>0.6</v>
      </c>
      <c r="G84">
        <v>0.7</v>
      </c>
      <c r="H84">
        <v>0.8</v>
      </c>
      <c r="I84" s="86">
        <f t="shared" ca="1" si="7"/>
        <v>-0.16</v>
      </c>
      <c r="J84" s="86">
        <f t="shared" ca="1" si="8"/>
        <v>0.22</v>
      </c>
      <c r="K84" s="86">
        <f t="shared" ca="1" si="9"/>
        <v>0.14000000000000001</v>
      </c>
    </row>
    <row r="85" spans="1:11" x14ac:dyDescent="0.2">
      <c r="A85" t="s">
        <v>94</v>
      </c>
      <c r="B85" s="64">
        <v>1</v>
      </c>
      <c r="C85" s="87">
        <f t="shared" ca="1" si="5"/>
        <v>0.85</v>
      </c>
      <c r="D85" s="7" t="s">
        <v>176</v>
      </c>
      <c r="E85" s="88">
        <f t="shared" ca="1" si="6"/>
        <v>0.9</v>
      </c>
      <c r="F85">
        <v>0.6</v>
      </c>
      <c r="G85">
        <v>0.7</v>
      </c>
      <c r="H85">
        <v>0.8</v>
      </c>
      <c r="I85" s="86">
        <f t="shared" ca="1" si="7"/>
        <v>0.25</v>
      </c>
      <c r="J85" s="86">
        <f t="shared" ca="1" si="8"/>
        <v>-0.05</v>
      </c>
      <c r="K85" s="86">
        <f t="shared" ca="1" si="9"/>
        <v>0.13</v>
      </c>
    </row>
    <row r="86" spans="1:11" x14ac:dyDescent="0.2">
      <c r="A86" t="s">
        <v>95</v>
      </c>
      <c r="B86" s="64">
        <v>1</v>
      </c>
      <c r="C86" s="87">
        <f t="shared" ca="1" si="5"/>
        <v>0.97</v>
      </c>
      <c r="D86" s="7" t="s">
        <v>177</v>
      </c>
      <c r="E86" s="88">
        <f t="shared" ca="1" si="6"/>
        <v>1</v>
      </c>
      <c r="F86">
        <v>0.6</v>
      </c>
      <c r="G86">
        <v>0.7</v>
      </c>
      <c r="H86">
        <v>0.8</v>
      </c>
      <c r="I86" s="86">
        <f t="shared" ca="1" si="7"/>
        <v>0.37</v>
      </c>
      <c r="J86" s="86">
        <f t="shared" ca="1" si="8"/>
        <v>-0.24</v>
      </c>
      <c r="K86" s="86">
        <f t="shared" ca="1" si="9"/>
        <v>-0.1</v>
      </c>
    </row>
    <row r="87" spans="1:11" x14ac:dyDescent="0.2">
      <c r="A87" t="s">
        <v>96</v>
      </c>
      <c r="B87" s="64">
        <v>1</v>
      </c>
      <c r="C87" s="87">
        <f t="shared" ca="1" si="5"/>
        <v>0.49</v>
      </c>
      <c r="D87" s="7" t="s">
        <v>133</v>
      </c>
      <c r="E87" s="88">
        <f t="shared" ca="1" si="6"/>
        <v>0.5</v>
      </c>
      <c r="F87">
        <v>0.6</v>
      </c>
      <c r="G87">
        <v>0.7</v>
      </c>
      <c r="H87">
        <v>0.8</v>
      </c>
      <c r="I87" s="86">
        <f t="shared" ca="1" si="7"/>
        <v>-0.11</v>
      </c>
      <c r="J87" s="86">
        <f t="shared" ca="1" si="8"/>
        <v>0.28000000000000003</v>
      </c>
      <c r="K87" s="86">
        <f t="shared" ca="1" si="9"/>
        <v>-0.11</v>
      </c>
    </row>
    <row r="88" spans="1:11" x14ac:dyDescent="0.2">
      <c r="A88" t="s">
        <v>97</v>
      </c>
      <c r="B88" s="64">
        <v>1</v>
      </c>
      <c r="C88" s="87">
        <f t="shared" ca="1" si="5"/>
        <v>0.55999999999999994</v>
      </c>
      <c r="D88" s="7" t="s">
        <v>133</v>
      </c>
      <c r="E88" s="88">
        <f t="shared" ca="1" si="6"/>
        <v>0.6</v>
      </c>
      <c r="F88">
        <v>0.6</v>
      </c>
      <c r="G88">
        <v>0.7</v>
      </c>
      <c r="H88">
        <v>0.8</v>
      </c>
      <c r="I88" s="86">
        <f t="shared" ca="1" si="7"/>
        <v>-0.04</v>
      </c>
      <c r="J88" s="86">
        <f t="shared" ca="1" si="8"/>
        <v>0</v>
      </c>
      <c r="K88" s="86">
        <f t="shared" ca="1" si="9"/>
        <v>-0.2</v>
      </c>
    </row>
    <row r="89" spans="1:11" x14ac:dyDescent="0.2">
      <c r="A89" t="s">
        <v>98</v>
      </c>
      <c r="B89" s="64">
        <v>1</v>
      </c>
      <c r="C89" s="87">
        <f t="shared" ca="1" si="5"/>
        <v>0.86</v>
      </c>
      <c r="D89" s="7" t="s">
        <v>133</v>
      </c>
      <c r="E89" s="88">
        <f t="shared" ca="1" si="6"/>
        <v>0.9</v>
      </c>
      <c r="F89">
        <v>0.6</v>
      </c>
      <c r="G89">
        <v>0.7</v>
      </c>
      <c r="H89">
        <v>0.8</v>
      </c>
      <c r="I89" s="86">
        <f t="shared" ca="1" si="7"/>
        <v>0.26</v>
      </c>
      <c r="J89" s="86">
        <f t="shared" ca="1" si="8"/>
        <v>0.02</v>
      </c>
      <c r="K89" s="86">
        <f t="shared" ca="1" si="9"/>
        <v>-0.01</v>
      </c>
    </row>
    <row r="90" spans="1:11" x14ac:dyDescent="0.2">
      <c r="A90" t="s">
        <v>99</v>
      </c>
      <c r="B90" s="64">
        <v>1</v>
      </c>
      <c r="C90" s="87">
        <f t="shared" ca="1" si="5"/>
        <v>0.54999999999999993</v>
      </c>
      <c r="D90" s="7" t="s">
        <v>178</v>
      </c>
      <c r="E90" s="88">
        <f t="shared" ca="1" si="6"/>
        <v>0.6</v>
      </c>
      <c r="F90">
        <v>0.6</v>
      </c>
      <c r="G90">
        <v>0.7</v>
      </c>
      <c r="H90">
        <v>0.8</v>
      </c>
      <c r="I90" s="86">
        <f t="shared" ca="1" si="7"/>
        <v>-0.05</v>
      </c>
      <c r="J90" s="86">
        <f t="shared" ca="1" si="8"/>
        <v>0.12</v>
      </c>
      <c r="K90" s="86">
        <f t="shared" ca="1" si="9"/>
        <v>-0.19</v>
      </c>
    </row>
    <row r="91" spans="1:11" x14ac:dyDescent="0.2">
      <c r="A91" t="s">
        <v>100</v>
      </c>
      <c r="B91" s="64">
        <v>1</v>
      </c>
      <c r="C91" s="87">
        <f t="shared" ca="1" si="5"/>
        <v>0.55999999999999994</v>
      </c>
      <c r="D91" s="7" t="s">
        <v>133</v>
      </c>
      <c r="E91" s="88">
        <f t="shared" ca="1" si="6"/>
        <v>0.6</v>
      </c>
      <c r="F91">
        <v>0.6</v>
      </c>
      <c r="G91">
        <v>0.7</v>
      </c>
      <c r="H91">
        <v>0.8</v>
      </c>
      <c r="I91" s="86">
        <f t="shared" ca="1" si="7"/>
        <v>-0.04</v>
      </c>
      <c r="J91" s="86">
        <f t="shared" ca="1" si="8"/>
        <v>-0.17</v>
      </c>
      <c r="K91" s="86">
        <f t="shared" ca="1" si="9"/>
        <v>0.15</v>
      </c>
    </row>
    <row r="92" spans="1:11" ht="15" x14ac:dyDescent="0.25">
      <c r="A92" t="s">
        <v>301</v>
      </c>
      <c r="B92" s="64">
        <v>1</v>
      </c>
      <c r="C92" s="87">
        <f t="shared" ca="1" si="5"/>
        <v>0.83</v>
      </c>
      <c r="D92" s="7" t="s">
        <v>179</v>
      </c>
      <c r="E92" s="88">
        <f t="shared" ca="1" si="6"/>
        <v>0.8</v>
      </c>
      <c r="F92">
        <v>0.6</v>
      </c>
      <c r="G92">
        <v>0.7</v>
      </c>
      <c r="H92">
        <v>0.8</v>
      </c>
      <c r="I92" s="86">
        <f t="shared" ca="1" si="7"/>
        <v>0.23</v>
      </c>
      <c r="J92" s="86">
        <f t="shared" ca="1" si="8"/>
        <v>0.2</v>
      </c>
      <c r="K92" s="86">
        <f t="shared" ca="1" si="9"/>
        <v>0.12</v>
      </c>
    </row>
    <row r="93" spans="1:11" x14ac:dyDescent="0.2">
      <c r="A93" t="s">
        <v>102</v>
      </c>
      <c r="B93" s="64">
        <v>1</v>
      </c>
      <c r="C93" s="87">
        <f t="shared" ca="1" si="5"/>
        <v>0.35</v>
      </c>
      <c r="D93" s="7" t="s">
        <v>180</v>
      </c>
      <c r="E93" s="88">
        <f t="shared" ca="1" si="6"/>
        <v>0.4</v>
      </c>
      <c r="F93">
        <v>0.6</v>
      </c>
      <c r="G93">
        <v>0.7</v>
      </c>
      <c r="H93">
        <v>0.8</v>
      </c>
      <c r="I93" s="86">
        <f t="shared" ca="1" si="7"/>
        <v>-0.25</v>
      </c>
      <c r="J93" s="86">
        <f t="shared" ca="1" si="8"/>
        <v>0.3</v>
      </c>
      <c r="K93" s="86">
        <f t="shared" ca="1" si="9"/>
        <v>0.13</v>
      </c>
    </row>
    <row r="94" spans="1:11" ht="15" x14ac:dyDescent="0.25">
      <c r="A94" t="s">
        <v>302</v>
      </c>
      <c r="B94" s="64">
        <v>1</v>
      </c>
      <c r="C94" s="87">
        <f t="shared" ca="1" si="5"/>
        <v>0.8</v>
      </c>
      <c r="D94" s="7" t="s">
        <v>133</v>
      </c>
      <c r="E94" s="88">
        <f t="shared" ca="1" si="6"/>
        <v>0.8</v>
      </c>
      <c r="F94">
        <v>0.6</v>
      </c>
      <c r="G94">
        <v>0.7</v>
      </c>
      <c r="H94">
        <v>0.8</v>
      </c>
      <c r="I94" s="86">
        <f t="shared" ca="1" si="7"/>
        <v>0.2</v>
      </c>
      <c r="J94" s="86">
        <f t="shared" ca="1" si="8"/>
        <v>0.2</v>
      </c>
      <c r="K94" s="86">
        <f t="shared" ca="1" si="9"/>
        <v>0.1</v>
      </c>
    </row>
    <row r="95" spans="1:11" x14ac:dyDescent="0.2">
      <c r="A95" t="s">
        <v>104</v>
      </c>
      <c r="B95" s="64">
        <v>1</v>
      </c>
      <c r="C95" s="87">
        <f t="shared" ca="1" si="5"/>
        <v>0.43999999999999995</v>
      </c>
      <c r="D95" s="7" t="s">
        <v>181</v>
      </c>
      <c r="E95" s="88">
        <f t="shared" ca="1" si="6"/>
        <v>0.4</v>
      </c>
      <c r="F95">
        <v>0.6</v>
      </c>
      <c r="G95">
        <v>0.7</v>
      </c>
      <c r="H95">
        <v>0.8</v>
      </c>
      <c r="I95" s="86">
        <f t="shared" ca="1" si="7"/>
        <v>-0.16</v>
      </c>
      <c r="J95" s="86">
        <f t="shared" ca="1" si="8"/>
        <v>0.19</v>
      </c>
      <c r="K95" s="86">
        <f t="shared" ca="1" si="9"/>
        <v>-0.2</v>
      </c>
    </row>
    <row r="96" spans="1:11" x14ac:dyDescent="0.2">
      <c r="A96" t="s">
        <v>105</v>
      </c>
      <c r="B96" s="64">
        <v>1</v>
      </c>
      <c r="C96" s="87">
        <f t="shared" ca="1" si="5"/>
        <v>0.62</v>
      </c>
      <c r="D96" s="7" t="s">
        <v>133</v>
      </c>
      <c r="E96" s="88">
        <f t="shared" ca="1" si="6"/>
        <v>0.6</v>
      </c>
      <c r="F96">
        <v>0.6</v>
      </c>
      <c r="G96">
        <v>0.7</v>
      </c>
      <c r="H96">
        <v>0.8</v>
      </c>
      <c r="I96" s="86">
        <f t="shared" ca="1" si="7"/>
        <v>0.02</v>
      </c>
      <c r="J96" s="86">
        <f t="shared" ca="1" si="8"/>
        <v>-0.3</v>
      </c>
      <c r="K96" s="86">
        <f t="shared" ca="1" si="9"/>
        <v>-0.09</v>
      </c>
    </row>
    <row r="97" spans="1:11" ht="15" x14ac:dyDescent="0.25">
      <c r="A97" t="s">
        <v>303</v>
      </c>
      <c r="B97" s="64">
        <v>1</v>
      </c>
      <c r="C97" s="87">
        <f t="shared" ca="1" si="5"/>
        <v>0.39</v>
      </c>
      <c r="D97" s="7" t="s">
        <v>133</v>
      </c>
      <c r="E97" s="88">
        <f t="shared" ca="1" si="6"/>
        <v>0.4</v>
      </c>
      <c r="F97">
        <v>0.6</v>
      </c>
      <c r="G97">
        <v>0.7</v>
      </c>
      <c r="H97">
        <v>0.8</v>
      </c>
      <c r="I97" s="86">
        <f t="shared" ca="1" si="7"/>
        <v>-0.21</v>
      </c>
      <c r="J97" s="86">
        <f t="shared" ca="1" si="8"/>
        <v>-0.3</v>
      </c>
      <c r="K97" s="86">
        <f t="shared" ca="1" si="9"/>
        <v>0.2</v>
      </c>
    </row>
    <row r="98" spans="1:11" ht="15" x14ac:dyDescent="0.25">
      <c r="A98" t="s">
        <v>304</v>
      </c>
      <c r="B98" s="64">
        <v>1</v>
      </c>
      <c r="C98" s="87">
        <f t="shared" ca="1" si="5"/>
        <v>0.78</v>
      </c>
      <c r="D98" s="7" t="s">
        <v>133</v>
      </c>
      <c r="E98" s="88">
        <f t="shared" ca="1" si="6"/>
        <v>0.8</v>
      </c>
      <c r="F98">
        <v>0.6</v>
      </c>
      <c r="G98">
        <v>0.7</v>
      </c>
      <c r="H98">
        <v>0.8</v>
      </c>
      <c r="I98" s="86">
        <f t="shared" ca="1" si="7"/>
        <v>0.18</v>
      </c>
      <c r="J98" s="86">
        <f t="shared" ca="1" si="8"/>
        <v>-0.21</v>
      </c>
      <c r="K98" s="86">
        <f t="shared" ca="1" si="9"/>
        <v>7.0000000000000007E-2</v>
      </c>
    </row>
    <row r="99" spans="1:11" x14ac:dyDescent="0.2">
      <c r="A99" t="s">
        <v>108</v>
      </c>
      <c r="B99" s="64">
        <v>1</v>
      </c>
      <c r="C99" s="87">
        <f t="shared" ca="1" si="5"/>
        <v>0.6</v>
      </c>
      <c r="D99" s="7" t="s">
        <v>133</v>
      </c>
      <c r="E99" s="88">
        <f t="shared" ca="1" si="6"/>
        <v>0.6</v>
      </c>
      <c r="F99">
        <v>0.6</v>
      </c>
      <c r="G99">
        <v>0.7</v>
      </c>
      <c r="H99">
        <v>0.8</v>
      </c>
      <c r="I99" s="86">
        <f t="shared" ca="1" si="7"/>
        <v>0</v>
      </c>
      <c r="J99" s="86">
        <f t="shared" ca="1" si="8"/>
        <v>0.01</v>
      </c>
      <c r="K99" s="86">
        <f t="shared" ca="1" si="9"/>
        <v>0.04</v>
      </c>
    </row>
    <row r="100" spans="1:11" x14ac:dyDescent="0.2">
      <c r="A100" t="s">
        <v>109</v>
      </c>
      <c r="B100" s="64">
        <v>1</v>
      </c>
      <c r="C100" s="87">
        <f t="shared" ca="1" si="5"/>
        <v>0.80999999999999994</v>
      </c>
      <c r="D100" s="7" t="s">
        <v>182</v>
      </c>
      <c r="E100" s="88">
        <f t="shared" ca="1" si="6"/>
        <v>0.8</v>
      </c>
      <c r="F100">
        <v>0.6</v>
      </c>
      <c r="G100">
        <v>0.7</v>
      </c>
      <c r="H100">
        <v>0.8</v>
      </c>
      <c r="I100" s="86">
        <f t="shared" ca="1" si="7"/>
        <v>0.21</v>
      </c>
      <c r="J100" s="86">
        <f t="shared" ca="1" si="8"/>
        <v>-0.04</v>
      </c>
      <c r="K100" s="86">
        <f t="shared" ca="1" si="9"/>
        <v>-0.03</v>
      </c>
    </row>
    <row r="101" spans="1:11" x14ac:dyDescent="0.2">
      <c r="A101" t="s">
        <v>110</v>
      </c>
      <c r="B101" s="64">
        <v>1</v>
      </c>
      <c r="C101" s="87">
        <f t="shared" ca="1" si="5"/>
        <v>0.54</v>
      </c>
      <c r="D101" s="7" t="s">
        <v>133</v>
      </c>
      <c r="E101" s="88">
        <f t="shared" ca="1" si="6"/>
        <v>0.5</v>
      </c>
      <c r="F101">
        <v>0.6</v>
      </c>
      <c r="G101">
        <v>0.7</v>
      </c>
      <c r="H101">
        <v>0.8</v>
      </c>
      <c r="I101" s="86">
        <f t="shared" ca="1" si="7"/>
        <v>-0.06</v>
      </c>
      <c r="J101" s="86">
        <f t="shared" ca="1" si="8"/>
        <v>-0.15</v>
      </c>
      <c r="K101" s="86">
        <f t="shared" ca="1" si="9"/>
        <v>-0.16</v>
      </c>
    </row>
    <row r="102" spans="1:11" x14ac:dyDescent="0.2">
      <c r="C102" s="82"/>
    </row>
    <row r="103" spans="1:11" x14ac:dyDescent="0.2">
      <c r="C103" s="82"/>
    </row>
    <row r="104" spans="1:11" x14ac:dyDescent="0.2">
      <c r="C104" s="82"/>
    </row>
    <row r="105" spans="1:11" x14ac:dyDescent="0.2">
      <c r="C105" s="82"/>
    </row>
    <row r="106" spans="1:11" x14ac:dyDescent="0.2">
      <c r="C106" s="82"/>
    </row>
    <row r="107" spans="1:11" x14ac:dyDescent="0.2">
      <c r="C107" s="82"/>
    </row>
    <row r="108" spans="1:11" x14ac:dyDescent="0.2">
      <c r="C108" s="82"/>
    </row>
    <row r="109" spans="1:11" x14ac:dyDescent="0.2">
      <c r="C109" s="82"/>
    </row>
    <row r="110" spans="1:11" x14ac:dyDescent="0.2">
      <c r="C110" s="82"/>
    </row>
    <row r="111" spans="1:11" x14ac:dyDescent="0.2">
      <c r="C111" s="82"/>
    </row>
    <row r="112" spans="1:11" x14ac:dyDescent="0.2">
      <c r="C112" s="82"/>
    </row>
    <row r="113" spans="3:3" x14ac:dyDescent="0.2">
      <c r="C113" s="82"/>
    </row>
  </sheetData>
  <pageMargins left="0.7" right="0.7" top="0.75" bottom="0.75" header="0.3" footer="0.3"/>
  <pageSetup scale="82" fitToHeight="2" orientation="portrait"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L105"/>
  <sheetViews>
    <sheetView workbookViewId="0">
      <selection activeCell="D3" sqref="D3"/>
    </sheetView>
  </sheetViews>
  <sheetFormatPr defaultRowHeight="12.75" x14ac:dyDescent="0.2"/>
  <cols>
    <col min="4" max="4" width="12.42578125" customWidth="1"/>
    <col min="5" max="5" width="11.85546875" customWidth="1"/>
    <col min="6" max="6" width="13.85546875" customWidth="1"/>
  </cols>
  <sheetData>
    <row r="1" spans="1:12" x14ac:dyDescent="0.2">
      <c r="A1" s="90" t="s">
        <v>192</v>
      </c>
      <c r="B1" s="90"/>
      <c r="C1" s="90"/>
      <c r="D1" s="90"/>
      <c r="E1" s="90"/>
      <c r="F1" s="90"/>
      <c r="G1" s="90"/>
      <c r="H1" s="90"/>
      <c r="I1" s="24"/>
      <c r="J1" s="24"/>
      <c r="K1" s="24"/>
      <c r="L1" s="24"/>
    </row>
    <row r="3" spans="1:12" x14ac:dyDescent="0.2">
      <c r="C3" s="27" t="s">
        <v>191</v>
      </c>
      <c r="D3" s="28">
        <f ca="1">AVERAGE(F6:F105)</f>
        <v>0.20172400000000007</v>
      </c>
    </row>
    <row r="5" spans="1:12" s="25" customFormat="1" ht="48" customHeight="1" x14ac:dyDescent="0.2">
      <c r="B5" s="25" t="s">
        <v>126</v>
      </c>
      <c r="C5" s="25" t="s">
        <v>183</v>
      </c>
      <c r="D5" s="25" t="s">
        <v>189</v>
      </c>
      <c r="E5" s="25" t="s">
        <v>190</v>
      </c>
      <c r="F5" s="25" t="s">
        <v>220</v>
      </c>
    </row>
    <row r="6" spans="1:12" x14ac:dyDescent="0.2">
      <c r="B6" t="str">
        <f>DataInColumns!A2</f>
        <v>The Russian Ensign from Star Trek was named Nureyev.</v>
      </c>
      <c r="C6">
        <f>DataInColumns!B2</f>
        <v>0</v>
      </c>
      <c r="D6">
        <f ca="1">DataInColumns!C2</f>
        <v>0.53</v>
      </c>
      <c r="E6">
        <f ca="1">C6-D6</f>
        <v>-0.53</v>
      </c>
      <c r="F6">
        <f ca="1">E6*E6</f>
        <v>0.28090000000000004</v>
      </c>
    </row>
    <row r="7" spans="1:12" x14ac:dyDescent="0.2">
      <c r="B7" t="str">
        <f>DataInColumns!A3</f>
        <v>The polar bear diet consists primarily of seals.</v>
      </c>
      <c r="C7">
        <f>DataInColumns!B3</f>
        <v>0</v>
      </c>
      <c r="D7">
        <f ca="1">DataInColumns!C3</f>
        <v>0.17</v>
      </c>
      <c r="E7">
        <f t="shared" ref="E7:E70" ca="1" si="0">C7-D7</f>
        <v>-0.17</v>
      </c>
      <c r="F7">
        <f t="shared" ref="F7:F70" ca="1" si="1">E7*E7</f>
        <v>2.8900000000000006E-2</v>
      </c>
    </row>
    <row r="8" spans="1:12" x14ac:dyDescent="0.2">
      <c r="B8" t="str">
        <f>DataInColumns!A4</f>
        <v>According to folklore, the sandman helps children grow.</v>
      </c>
      <c r="C8">
        <f>DataInColumns!B4</f>
        <v>0</v>
      </c>
      <c r="D8">
        <f ca="1">DataInColumns!C4</f>
        <v>0.53</v>
      </c>
      <c r="E8">
        <f t="shared" ca="1" si="0"/>
        <v>-0.53</v>
      </c>
      <c r="F8">
        <f t="shared" ca="1" si="1"/>
        <v>0.28090000000000004</v>
      </c>
    </row>
    <row r="9" spans="1:12" x14ac:dyDescent="0.2">
      <c r="B9" t="str">
        <f>DataInColumns!A5</f>
        <v>The Concorde was developed in the French city of Toulouse.</v>
      </c>
      <c r="C9">
        <f>DataInColumns!B5</f>
        <v>0</v>
      </c>
      <c r="D9">
        <f ca="1">DataInColumns!C5</f>
        <v>0.13</v>
      </c>
      <c r="E9">
        <f t="shared" ca="1" si="0"/>
        <v>-0.13</v>
      </c>
      <c r="F9">
        <f t="shared" ca="1" si="1"/>
        <v>1.6900000000000002E-2</v>
      </c>
    </row>
    <row r="10" spans="1:12" x14ac:dyDescent="0.2">
      <c r="B10" t="str">
        <f>DataInColumns!A6</f>
        <v>In the Peanuts cartoon, the character Schroeder plays the piano.</v>
      </c>
      <c r="C10">
        <f>DataInColumns!B6</f>
        <v>0</v>
      </c>
      <c r="D10">
        <f ca="1">DataInColumns!C6</f>
        <v>0.30000000000000004</v>
      </c>
      <c r="E10">
        <f t="shared" ca="1" si="0"/>
        <v>-0.30000000000000004</v>
      </c>
      <c r="F10">
        <f t="shared" ca="1" si="1"/>
        <v>9.0000000000000024E-2</v>
      </c>
    </row>
    <row r="11" spans="1:12" x14ac:dyDescent="0.2">
      <c r="B11" t="str">
        <f>DataInColumns!A7</f>
        <v>The color brown is not found in a rainbow.</v>
      </c>
      <c r="C11">
        <f>DataInColumns!B7</f>
        <v>0</v>
      </c>
      <c r="D11">
        <f ca="1">DataInColumns!C7</f>
        <v>0.43000000000000005</v>
      </c>
      <c r="E11">
        <f t="shared" ca="1" si="0"/>
        <v>-0.43000000000000005</v>
      </c>
      <c r="F11">
        <f t="shared" ca="1" si="1"/>
        <v>0.18490000000000004</v>
      </c>
    </row>
    <row r="12" spans="1:12" x14ac:dyDescent="0.2">
      <c r="B12" t="str">
        <f>DataInColumns!A8</f>
        <v>The World trade Center was designed by architect Mirioru Yamazuki.</v>
      </c>
      <c r="C12">
        <f>DataInColumns!B8</f>
        <v>0</v>
      </c>
      <c r="D12">
        <f ca="1">DataInColumns!C8</f>
        <v>0.55000000000000004</v>
      </c>
      <c r="E12">
        <f t="shared" ca="1" si="0"/>
        <v>-0.55000000000000004</v>
      </c>
      <c r="F12">
        <f t="shared" ca="1" si="1"/>
        <v>0.30250000000000005</v>
      </c>
    </row>
    <row r="13" spans="1:12" x14ac:dyDescent="0.2">
      <c r="B13" t="str">
        <f>DataInColumns!A9</f>
        <v>The term "gambit" is associated with pitching horseshoes.</v>
      </c>
      <c r="C13">
        <f>DataInColumns!B9</f>
        <v>0</v>
      </c>
      <c r="D13">
        <f ca="1">DataInColumns!C9</f>
        <v>0.38</v>
      </c>
      <c r="E13">
        <f t="shared" ca="1" si="0"/>
        <v>-0.38</v>
      </c>
      <c r="F13">
        <f t="shared" ca="1" si="1"/>
        <v>0.1444</v>
      </c>
    </row>
    <row r="14" spans="1:12" x14ac:dyDescent="0.2">
      <c r="B14" t="str">
        <f>DataInColumns!A10</f>
        <v>The term "in toto" means on your toes.</v>
      </c>
      <c r="C14">
        <f>DataInColumns!B10</f>
        <v>0</v>
      </c>
      <c r="D14">
        <f ca="1">DataInColumns!C10</f>
        <v>8.0000000000000016E-2</v>
      </c>
      <c r="E14">
        <f t="shared" ca="1" si="0"/>
        <v>-8.0000000000000016E-2</v>
      </c>
      <c r="F14">
        <f t="shared" ca="1" si="1"/>
        <v>6.4000000000000029E-3</v>
      </c>
    </row>
    <row r="15" spans="1:12" x14ac:dyDescent="0.2">
      <c r="B15" t="str">
        <f>DataInColumns!A11</f>
        <v>Buick is named after the founder of Detroit.</v>
      </c>
      <c r="C15">
        <f>DataInColumns!B11</f>
        <v>0</v>
      </c>
      <c r="D15">
        <f ca="1">DataInColumns!C11</f>
        <v>0.38</v>
      </c>
      <c r="E15">
        <f t="shared" ca="1" si="0"/>
        <v>-0.38</v>
      </c>
      <c r="F15">
        <f t="shared" ca="1" si="1"/>
        <v>0.1444</v>
      </c>
    </row>
    <row r="16" spans="1:12" x14ac:dyDescent="0.2">
      <c r="B16" t="str">
        <f>DataInColumns!A12</f>
        <v>California has the most seats in the American House of Representatives.</v>
      </c>
      <c r="C16">
        <f>DataInColumns!B12</f>
        <v>0</v>
      </c>
      <c r="D16">
        <f ca="1">DataInColumns!C12</f>
        <v>1.0000000000000009E-2</v>
      </c>
      <c r="E16">
        <f t="shared" ca="1" si="0"/>
        <v>-1.0000000000000009E-2</v>
      </c>
      <c r="F16">
        <f t="shared" ca="1" si="1"/>
        <v>1.0000000000000018E-4</v>
      </c>
    </row>
    <row r="17" spans="2:6" x14ac:dyDescent="0.2">
      <c r="B17" t="str">
        <f>DataInColumns!A13</f>
        <v>The artist Andy Cole is famous for his images of Campbell's soup cans.</v>
      </c>
      <c r="C17">
        <f>DataInColumns!B13</f>
        <v>0</v>
      </c>
      <c r="D17">
        <f ca="1">DataInColumns!C13</f>
        <v>0.28000000000000003</v>
      </c>
      <c r="E17">
        <f t="shared" ca="1" si="0"/>
        <v>-0.28000000000000003</v>
      </c>
      <c r="F17">
        <f t="shared" ca="1" si="1"/>
        <v>7.8400000000000011E-2</v>
      </c>
    </row>
    <row r="18" spans="2:6" x14ac:dyDescent="0.2">
      <c r="B18" t="str">
        <f>DataInColumns!A14</f>
        <v>A yeti is a mythical shaggy man-beast who lives in the Himalayas.</v>
      </c>
      <c r="C18">
        <f>DataInColumns!B14</f>
        <v>0</v>
      </c>
      <c r="D18">
        <f ca="1">DataInColumns!C14</f>
        <v>0.36000000000000004</v>
      </c>
      <c r="E18">
        <f t="shared" ca="1" si="0"/>
        <v>-0.36000000000000004</v>
      </c>
      <c r="F18">
        <f t="shared" ca="1" si="1"/>
        <v>0.12960000000000002</v>
      </c>
    </row>
    <row r="19" spans="2:6" x14ac:dyDescent="0.2">
      <c r="B19" t="str">
        <f>DataInColumns!A15</f>
        <v xml:space="preserve">An "Indian Summer" is an especially warm spring. </v>
      </c>
      <c r="C19">
        <f>DataInColumns!B15</f>
        <v>0</v>
      </c>
      <c r="D19">
        <f ca="1">DataInColumns!C15</f>
        <v>0.49</v>
      </c>
      <c r="E19">
        <f t="shared" ca="1" si="0"/>
        <v>-0.49</v>
      </c>
      <c r="F19">
        <f t="shared" ca="1" si="1"/>
        <v>0.24009999999999998</v>
      </c>
    </row>
    <row r="20" spans="2:6" x14ac:dyDescent="0.2">
      <c r="B20" t="str">
        <f>DataInColumns!A16</f>
        <v>A fedora is a type of dance.</v>
      </c>
      <c r="C20">
        <f>DataInColumns!B16</f>
        <v>0</v>
      </c>
      <c r="D20">
        <f ca="1">DataInColumns!C16</f>
        <v>9.0000000000000024E-2</v>
      </c>
      <c r="E20">
        <f t="shared" ca="1" si="0"/>
        <v>-9.0000000000000024E-2</v>
      </c>
      <c r="F20">
        <f t="shared" ca="1" si="1"/>
        <v>8.1000000000000048E-3</v>
      </c>
    </row>
    <row r="21" spans="2:6" x14ac:dyDescent="0.2">
      <c r="B21" t="str">
        <f>DataInColumns!A17</f>
        <v>The song "Day By Day" is featured in the musical "Hair."</v>
      </c>
      <c r="C21">
        <f>DataInColumns!B17</f>
        <v>0</v>
      </c>
      <c r="D21">
        <f ca="1">DataInColumns!C17</f>
        <v>0.79</v>
      </c>
      <c r="E21">
        <f t="shared" ca="1" si="0"/>
        <v>-0.79</v>
      </c>
      <c r="F21">
        <f t="shared" ca="1" si="1"/>
        <v>0.6241000000000001</v>
      </c>
    </row>
    <row r="22" spans="2:6" x14ac:dyDescent="0.2">
      <c r="B22" t="str">
        <f>DataInColumns!A18</f>
        <v>The Dow Jones average is generated by checking a total of 50 stocks.</v>
      </c>
      <c r="C22">
        <f>DataInColumns!B18</f>
        <v>0</v>
      </c>
      <c r="D22">
        <f ca="1">DataInColumns!C18</f>
        <v>0.52</v>
      </c>
      <c r="E22">
        <f t="shared" ca="1" si="0"/>
        <v>-0.52</v>
      </c>
      <c r="F22">
        <f t="shared" ca="1" si="1"/>
        <v>0.27040000000000003</v>
      </c>
    </row>
    <row r="23" spans="2:6" x14ac:dyDescent="0.2">
      <c r="B23" t="str">
        <f>DataInColumns!A19</f>
        <v>The first microwave oven was invented in 1947 by Percy Spencer.</v>
      </c>
      <c r="C23">
        <f>DataInColumns!B19</f>
        <v>0</v>
      </c>
      <c r="D23">
        <f ca="1">DataInColumns!C19</f>
        <v>0.77</v>
      </c>
      <c r="E23">
        <f t="shared" ca="1" si="0"/>
        <v>-0.77</v>
      </c>
      <c r="F23">
        <f t="shared" ca="1" si="1"/>
        <v>0.59289999999999998</v>
      </c>
    </row>
    <row r="24" spans="2:6" x14ac:dyDescent="0.2">
      <c r="B24" t="str">
        <f>DataInColumns!A20</f>
        <v>The first U.S. Space Shuttle to orbit the earth was Columbia.</v>
      </c>
      <c r="C24">
        <f>DataInColumns!B20</f>
        <v>0</v>
      </c>
      <c r="D24">
        <f ca="1">DataInColumns!C20</f>
        <v>8.0000000000000016E-2</v>
      </c>
      <c r="E24">
        <f t="shared" ca="1" si="0"/>
        <v>-8.0000000000000016E-2</v>
      </c>
      <c r="F24">
        <f t="shared" ca="1" si="1"/>
        <v>6.4000000000000029E-3</v>
      </c>
    </row>
    <row r="25" spans="2:6" x14ac:dyDescent="0.2">
      <c r="B25" t="str">
        <f>DataInColumns!A21</f>
        <v>President McKinley, after he was shot, was succeeded by Theodore Roosevelt.</v>
      </c>
      <c r="C25">
        <f>DataInColumns!B21</f>
        <v>0</v>
      </c>
      <c r="D25">
        <f ca="1">DataInColumns!C21</f>
        <v>0.32</v>
      </c>
      <c r="E25">
        <f t="shared" ca="1" si="0"/>
        <v>-0.32</v>
      </c>
      <c r="F25">
        <f t="shared" ca="1" si="1"/>
        <v>0.1024</v>
      </c>
    </row>
    <row r="26" spans="2:6" x14ac:dyDescent="0.2">
      <c r="B26" t="str">
        <f>DataInColumns!A22</f>
        <v>Singer Diana Ross' middle name is Josephine.</v>
      </c>
      <c r="C26">
        <f>DataInColumns!B22</f>
        <v>0</v>
      </c>
      <c r="D26">
        <f ca="1">DataInColumns!C22</f>
        <v>0.28000000000000003</v>
      </c>
      <c r="E26">
        <f t="shared" ca="1" si="0"/>
        <v>-0.28000000000000003</v>
      </c>
      <c r="F26">
        <f t="shared" ca="1" si="1"/>
        <v>7.8400000000000011E-2</v>
      </c>
    </row>
    <row r="27" spans="2:6" x14ac:dyDescent="0.2">
      <c r="B27" t="str">
        <f>DataInColumns!A23</f>
        <v>The first African-American General in the US military was Patrick F. Healy.</v>
      </c>
      <c r="C27">
        <f>DataInColumns!B23</f>
        <v>0</v>
      </c>
      <c r="D27">
        <f ca="1">DataInColumns!C23</f>
        <v>0.47000000000000003</v>
      </c>
      <c r="E27">
        <f t="shared" ca="1" si="0"/>
        <v>-0.47000000000000003</v>
      </c>
      <c r="F27">
        <f t="shared" ca="1" si="1"/>
        <v>0.22090000000000004</v>
      </c>
    </row>
    <row r="28" spans="2:6" x14ac:dyDescent="0.2">
      <c r="B28" t="str">
        <f>DataInColumns!A24</f>
        <v>The Japanese art of flower arrangement is known as Ikebana.</v>
      </c>
      <c r="C28">
        <f>DataInColumns!B24</f>
        <v>0</v>
      </c>
      <c r="D28">
        <f ca="1">DataInColumns!C24</f>
        <v>0.37</v>
      </c>
      <c r="E28">
        <f t="shared" ca="1" si="0"/>
        <v>-0.37</v>
      </c>
      <c r="F28">
        <f t="shared" ca="1" si="1"/>
        <v>0.13689999999999999</v>
      </c>
    </row>
    <row r="29" spans="2:6" x14ac:dyDescent="0.2">
      <c r="B29" t="str">
        <f>DataInColumns!A25</f>
        <v>The former name of the Hawaiian Islands was the Sandwich Islands.</v>
      </c>
      <c r="C29">
        <f>DataInColumns!B25</f>
        <v>0</v>
      </c>
      <c r="D29">
        <f ca="1">DataInColumns!C25</f>
        <v>0.69</v>
      </c>
      <c r="E29">
        <f t="shared" ca="1" si="0"/>
        <v>-0.69</v>
      </c>
      <c r="F29">
        <f t="shared" ca="1" si="1"/>
        <v>0.47609999999999991</v>
      </c>
    </row>
    <row r="30" spans="2:6" x14ac:dyDescent="0.2">
      <c r="B30" t="str">
        <f>DataInColumns!A26</f>
        <v>In the human body, the stirrup bone is located in the ear.</v>
      </c>
      <c r="C30">
        <f>DataInColumns!B26</f>
        <v>0</v>
      </c>
      <c r="D30">
        <f ca="1">DataInColumns!C26</f>
        <v>0.69</v>
      </c>
      <c r="E30">
        <f t="shared" ca="1" si="0"/>
        <v>-0.69</v>
      </c>
      <c r="F30">
        <f t="shared" ca="1" si="1"/>
        <v>0.47609999999999991</v>
      </c>
    </row>
    <row r="31" spans="2:6" x14ac:dyDescent="0.2">
      <c r="B31" t="str">
        <f>DataInColumns!A27</f>
        <v>An alektorophobic is frightened of chickens.</v>
      </c>
      <c r="C31">
        <f>DataInColumns!B27</f>
        <v>0</v>
      </c>
      <c r="D31">
        <f ca="1">DataInColumns!C27</f>
        <v>0.32</v>
      </c>
      <c r="E31">
        <f t="shared" ca="1" si="0"/>
        <v>-0.32</v>
      </c>
      <c r="F31">
        <f t="shared" ca="1" si="1"/>
        <v>0.1024</v>
      </c>
    </row>
    <row r="32" spans="2:6" x14ac:dyDescent="0.2">
      <c r="B32" t="str">
        <f>DataInColumns!A28</f>
        <v>Memorial Day is observed on the last Thursday of November.</v>
      </c>
      <c r="C32">
        <f>DataInColumns!B28</f>
        <v>0</v>
      </c>
      <c r="D32">
        <f ca="1">DataInColumns!C28</f>
        <v>0.12</v>
      </c>
      <c r="E32">
        <f t="shared" ca="1" si="0"/>
        <v>-0.12</v>
      </c>
      <c r="F32">
        <f t="shared" ca="1" si="1"/>
        <v>1.44E-2</v>
      </c>
    </row>
    <row r="33" spans="2:6" x14ac:dyDescent="0.2">
      <c r="B33" t="str">
        <f>DataInColumns!A29</f>
        <v>The willow tree is sometimes described as "weeping".</v>
      </c>
      <c r="C33">
        <f>DataInColumns!B29</f>
        <v>0</v>
      </c>
      <c r="D33">
        <f ca="1">DataInColumns!C29</f>
        <v>5.0000000000000044E-2</v>
      </c>
      <c r="E33">
        <f t="shared" ca="1" si="0"/>
        <v>-5.0000000000000044E-2</v>
      </c>
      <c r="F33">
        <f t="shared" ca="1" si="1"/>
        <v>2.5000000000000044E-3</v>
      </c>
    </row>
    <row r="34" spans="2:6" x14ac:dyDescent="0.2">
      <c r="B34" t="str">
        <f>DataInColumns!A30</f>
        <v>The singer Madonna's real surname is Ciccone.</v>
      </c>
      <c r="C34">
        <f>DataInColumns!B30</f>
        <v>0</v>
      </c>
      <c r="D34">
        <f ca="1">DataInColumns!C30</f>
        <v>0.19000000000000003</v>
      </c>
      <c r="E34">
        <f t="shared" ca="1" si="0"/>
        <v>-0.19000000000000003</v>
      </c>
      <c r="F34">
        <f t="shared" ca="1" si="1"/>
        <v>3.6100000000000014E-2</v>
      </c>
    </row>
    <row r="35" spans="2:6" x14ac:dyDescent="0.2">
      <c r="B35" t="str">
        <f>DataInColumns!A31</f>
        <v>In baseball, home plate is 60 feet, 6 inches from the pitcher's mound.</v>
      </c>
      <c r="C35">
        <f>DataInColumns!B31</f>
        <v>0</v>
      </c>
      <c r="D35">
        <f ca="1">DataInColumns!C31</f>
        <v>0.61</v>
      </c>
      <c r="E35">
        <f t="shared" ca="1" si="0"/>
        <v>-0.61</v>
      </c>
      <c r="F35">
        <f t="shared" ca="1" si="1"/>
        <v>0.37209999999999999</v>
      </c>
    </row>
    <row r="36" spans="2:6" x14ac:dyDescent="0.2">
      <c r="B36" t="str">
        <f>DataInColumns!A32</f>
        <v>The President's term begins on January 15th.</v>
      </c>
      <c r="C36">
        <f>DataInColumns!B32</f>
        <v>0</v>
      </c>
      <c r="D36">
        <f ca="1">DataInColumns!C32</f>
        <v>0.69</v>
      </c>
      <c r="E36">
        <f t="shared" ca="1" si="0"/>
        <v>-0.69</v>
      </c>
      <c r="F36">
        <f t="shared" ca="1" si="1"/>
        <v>0.47609999999999991</v>
      </c>
    </row>
    <row r="37" spans="2:6" x14ac:dyDescent="0.2">
      <c r="B37" t="str">
        <f>DataInColumns!A33</f>
        <v>"The Catcher in the Rye" was written by F. Scott Fitzgerald.</v>
      </c>
      <c r="C37">
        <f>DataInColumns!B33</f>
        <v>0</v>
      </c>
      <c r="D37">
        <f ca="1">DataInColumns!C33</f>
        <v>0.77</v>
      </c>
      <c r="E37">
        <f t="shared" ca="1" si="0"/>
        <v>-0.77</v>
      </c>
      <c r="F37">
        <f t="shared" ca="1" si="1"/>
        <v>0.59289999999999998</v>
      </c>
    </row>
    <row r="38" spans="2:6" x14ac:dyDescent="0.2">
      <c r="B38" t="str">
        <f>DataInColumns!A34</f>
        <v>The country of Thailand was formerly known as Siam.</v>
      </c>
      <c r="C38">
        <f>DataInColumns!B34</f>
        <v>0</v>
      </c>
      <c r="D38">
        <f ca="1">DataInColumns!C34</f>
        <v>0</v>
      </c>
      <c r="E38">
        <f t="shared" ca="1" si="0"/>
        <v>0</v>
      </c>
      <c r="F38">
        <f t="shared" ca="1" si="1"/>
        <v>0</v>
      </c>
    </row>
    <row r="39" spans="2:6" x14ac:dyDescent="0.2">
      <c r="B39" t="str">
        <f>DataInColumns!A35</f>
        <v>In Braille, there are 49 different combinations of dots.</v>
      </c>
      <c r="C39">
        <f>DataInColumns!B35</f>
        <v>0</v>
      </c>
      <c r="D39">
        <f ca="1">DataInColumns!C35</f>
        <v>0.48000000000000004</v>
      </c>
      <c r="E39">
        <f t="shared" ca="1" si="0"/>
        <v>-0.48000000000000004</v>
      </c>
      <c r="F39">
        <f t="shared" ca="1" si="1"/>
        <v>0.23040000000000005</v>
      </c>
    </row>
    <row r="40" spans="2:6" x14ac:dyDescent="0.2">
      <c r="B40" t="str">
        <f>DataInColumns!A36</f>
        <v>The song "White Christmas" was written by Bing Crosby.</v>
      </c>
      <c r="C40">
        <f>DataInColumns!B36</f>
        <v>0</v>
      </c>
      <c r="D40">
        <f ca="1">DataInColumns!C36</f>
        <v>0.51</v>
      </c>
      <c r="E40">
        <f t="shared" ca="1" si="0"/>
        <v>-0.51</v>
      </c>
      <c r="F40">
        <f t="shared" ca="1" si="1"/>
        <v>0.2601</v>
      </c>
    </row>
    <row r="41" spans="2:6" x14ac:dyDescent="0.2">
      <c r="B41" t="str">
        <f>DataInColumns!A37</f>
        <v>Jimmy Carter was not a Republican.</v>
      </c>
      <c r="C41">
        <f>DataInColumns!B37</f>
        <v>0</v>
      </c>
      <c r="D41">
        <f ca="1">DataInColumns!C37</f>
        <v>1.0000000000000009E-2</v>
      </c>
      <c r="E41">
        <f t="shared" ca="1" si="0"/>
        <v>-1.0000000000000009E-2</v>
      </c>
      <c r="F41">
        <f t="shared" ca="1" si="1"/>
        <v>1.0000000000000018E-4</v>
      </c>
    </row>
    <row r="42" spans="2:6" x14ac:dyDescent="0.2">
      <c r="B42" t="str">
        <f>DataInColumns!A38</f>
        <v>Napoleon was born on the island of Corsica.</v>
      </c>
      <c r="C42">
        <f>DataInColumns!B38</f>
        <v>0</v>
      </c>
      <c r="D42">
        <f ca="1">DataInColumns!C38</f>
        <v>0.58000000000000007</v>
      </c>
      <c r="E42">
        <f t="shared" ca="1" si="0"/>
        <v>-0.58000000000000007</v>
      </c>
      <c r="F42">
        <f t="shared" ca="1" si="1"/>
        <v>0.33640000000000009</v>
      </c>
    </row>
    <row r="43" spans="2:6" x14ac:dyDescent="0.2">
      <c r="B43" t="str">
        <f>DataInColumns!A39</f>
        <v>Encephalitis is a type of German measles.</v>
      </c>
      <c r="C43">
        <f>DataInColumns!B39</f>
        <v>0</v>
      </c>
      <c r="D43">
        <f ca="1">DataInColumns!C39</f>
        <v>0.76</v>
      </c>
      <c r="E43">
        <f t="shared" ca="1" si="0"/>
        <v>-0.76</v>
      </c>
      <c r="F43">
        <f t="shared" ca="1" si="1"/>
        <v>0.5776</v>
      </c>
    </row>
    <row r="44" spans="2:6" x14ac:dyDescent="0.2">
      <c r="B44" t="str">
        <f>DataInColumns!A40</f>
        <v>Homer Simpson's favorite drink is Duff Beer.</v>
      </c>
      <c r="C44">
        <f>DataInColumns!B40</f>
        <v>0</v>
      </c>
      <c r="D44">
        <f ca="1">DataInColumns!C40</f>
        <v>9.0000000000000024E-2</v>
      </c>
      <c r="E44">
        <f t="shared" ca="1" si="0"/>
        <v>-9.0000000000000024E-2</v>
      </c>
      <c r="F44">
        <f t="shared" ca="1" si="1"/>
        <v>8.1000000000000048E-3</v>
      </c>
    </row>
    <row r="45" spans="2:6" x14ac:dyDescent="0.2">
      <c r="B45" t="str">
        <f>DataInColumns!A41</f>
        <v>A "boot" is what British drivers call the trunk of their car.</v>
      </c>
      <c r="C45">
        <f>DataInColumns!B41</f>
        <v>0</v>
      </c>
      <c r="D45">
        <f ca="1">DataInColumns!C41</f>
        <v>0.38</v>
      </c>
      <c r="E45">
        <f t="shared" ca="1" si="0"/>
        <v>-0.38</v>
      </c>
      <c r="F45">
        <f t="shared" ca="1" si="1"/>
        <v>0.1444</v>
      </c>
    </row>
    <row r="46" spans="2:6" x14ac:dyDescent="0.2">
      <c r="B46" t="str">
        <f>DataInColumns!A42</f>
        <v>Laika, the first dog to orbit the earth, was a fox terrier.</v>
      </c>
      <c r="C46">
        <f>DataInColumns!B42</f>
        <v>0</v>
      </c>
      <c r="D46">
        <f ca="1">DataInColumns!C42</f>
        <v>0.15000000000000002</v>
      </c>
      <c r="E46">
        <f t="shared" ca="1" si="0"/>
        <v>-0.15000000000000002</v>
      </c>
      <c r="F46">
        <f t="shared" ca="1" si="1"/>
        <v>2.2500000000000006E-2</v>
      </c>
    </row>
    <row r="47" spans="2:6" x14ac:dyDescent="0.2">
      <c r="B47" t="str">
        <f>DataInColumns!A43</f>
        <v>The TV show "Cheers" was set in the city of Boston.</v>
      </c>
      <c r="C47">
        <f>DataInColumns!B43</f>
        <v>0</v>
      </c>
      <c r="D47">
        <f ca="1">DataInColumns!C43</f>
        <v>0.64</v>
      </c>
      <c r="E47">
        <f t="shared" ca="1" si="0"/>
        <v>-0.64</v>
      </c>
      <c r="F47">
        <f t="shared" ca="1" si="1"/>
        <v>0.40960000000000002</v>
      </c>
    </row>
    <row r="48" spans="2:6" x14ac:dyDescent="0.2">
      <c r="B48" t="str">
        <f>DataInColumns!A44</f>
        <v>In a standard game of checkers, each side starts with 12 pieces.</v>
      </c>
      <c r="C48">
        <f>DataInColumns!B44</f>
        <v>0</v>
      </c>
      <c r="D48">
        <f ca="1">DataInColumns!C44</f>
        <v>0.23</v>
      </c>
      <c r="E48">
        <f t="shared" ca="1" si="0"/>
        <v>-0.23</v>
      </c>
      <c r="F48">
        <f t="shared" ca="1" si="1"/>
        <v>5.2900000000000003E-2</v>
      </c>
    </row>
    <row r="49" spans="2:6" x14ac:dyDescent="0.2">
      <c r="B49" t="str">
        <f>DataInColumns!A45</f>
        <v>The tufted titmouse is a type of rodent.</v>
      </c>
      <c r="C49">
        <f>DataInColumns!B45</f>
        <v>0</v>
      </c>
      <c r="D49">
        <f ca="1">DataInColumns!C45</f>
        <v>0.69</v>
      </c>
      <c r="E49">
        <f t="shared" ca="1" si="0"/>
        <v>-0.69</v>
      </c>
      <c r="F49">
        <f t="shared" ca="1" si="1"/>
        <v>0.47609999999999991</v>
      </c>
    </row>
    <row r="50" spans="2:6" x14ac:dyDescent="0.2">
      <c r="B50" t="str">
        <f>DataInColumns!A46</f>
        <v xml:space="preserve">The captain of the H.M.S. Titanic was Captain White. </v>
      </c>
      <c r="C50">
        <f>DataInColumns!B46</f>
        <v>0</v>
      </c>
      <c r="D50">
        <f ca="1">DataInColumns!C46</f>
        <v>0.24000000000000002</v>
      </c>
      <c r="E50">
        <f t="shared" ca="1" si="0"/>
        <v>-0.24000000000000002</v>
      </c>
      <c r="F50">
        <f t="shared" ca="1" si="1"/>
        <v>5.7600000000000012E-2</v>
      </c>
    </row>
    <row r="51" spans="2:6" x14ac:dyDescent="0.2">
      <c r="B51" t="str">
        <f>DataInColumns!A47</f>
        <v>The middle ring of the Olympic flag is black.</v>
      </c>
      <c r="C51">
        <f>DataInColumns!B47</f>
        <v>0</v>
      </c>
      <c r="D51">
        <f ca="1">DataInColumns!C47</f>
        <v>0.47000000000000003</v>
      </c>
      <c r="E51">
        <f t="shared" ca="1" si="0"/>
        <v>-0.47000000000000003</v>
      </c>
      <c r="F51">
        <f t="shared" ca="1" si="1"/>
        <v>0.22090000000000004</v>
      </c>
    </row>
    <row r="52" spans="2:6" x14ac:dyDescent="0.2">
      <c r="B52" t="str">
        <f>DataInColumns!A48</f>
        <v xml:space="preserve">The nationality of opera singer Placido Domingo is Spanish. </v>
      </c>
      <c r="C52">
        <f>DataInColumns!B48</f>
        <v>0</v>
      </c>
      <c r="D52">
        <f ca="1">DataInColumns!C48</f>
        <v>0.22000000000000003</v>
      </c>
      <c r="E52">
        <f t="shared" ca="1" si="0"/>
        <v>-0.22000000000000003</v>
      </c>
      <c r="F52">
        <f t="shared" ca="1" si="1"/>
        <v>4.8400000000000012E-2</v>
      </c>
    </row>
    <row r="53" spans="2:6" x14ac:dyDescent="0.2">
      <c r="B53" t="str">
        <f>DataInColumns!A49</f>
        <v>The Bay of Pigs was an attempt to overthrow the government of Argentina.</v>
      </c>
      <c r="C53">
        <f>DataInColumns!B49</f>
        <v>0</v>
      </c>
      <c r="D53">
        <f ca="1">DataInColumns!C49</f>
        <v>0.57000000000000006</v>
      </c>
      <c r="E53">
        <f t="shared" ca="1" si="0"/>
        <v>-0.57000000000000006</v>
      </c>
      <c r="F53">
        <f t="shared" ca="1" si="1"/>
        <v>0.32490000000000008</v>
      </c>
    </row>
    <row r="54" spans="2:6" x14ac:dyDescent="0.2">
      <c r="B54" t="str">
        <f>DataInColumns!A50</f>
        <v>The city of Bukhara is located in Uzbekistan.</v>
      </c>
      <c r="C54">
        <f>DataInColumns!B50</f>
        <v>0</v>
      </c>
      <c r="D54">
        <f ca="1">DataInColumns!C50</f>
        <v>0.10000000000000003</v>
      </c>
      <c r="E54">
        <f t="shared" ca="1" si="0"/>
        <v>-0.10000000000000003</v>
      </c>
      <c r="F54">
        <f t="shared" ca="1" si="1"/>
        <v>1.0000000000000007E-2</v>
      </c>
    </row>
    <row r="55" spans="2:6" x14ac:dyDescent="0.2">
      <c r="B55" t="str">
        <f>DataInColumns!A51</f>
        <v>The Bolshoi Ballet is based in Kiev.</v>
      </c>
      <c r="C55">
        <f>DataInColumns!B51</f>
        <v>1</v>
      </c>
      <c r="D55">
        <f ca="1">DataInColumns!C51</f>
        <v>0.83</v>
      </c>
      <c r="E55">
        <f t="shared" ca="1" si="0"/>
        <v>0.17000000000000004</v>
      </c>
      <c r="F55">
        <f t="shared" ca="1" si="1"/>
        <v>2.8900000000000012E-2</v>
      </c>
    </row>
    <row r="56" spans="2:6" x14ac:dyDescent="0.2">
      <c r="B56" t="str">
        <f>DataInColumns!A52</f>
        <v>The flag of Grenada features the spice cinnamon.</v>
      </c>
      <c r="C56">
        <f>DataInColumns!B52</f>
        <v>1</v>
      </c>
      <c r="D56">
        <f ca="1">DataInColumns!C52</f>
        <v>0.89999999999999991</v>
      </c>
      <c r="E56">
        <f t="shared" ca="1" si="0"/>
        <v>0.10000000000000009</v>
      </c>
      <c r="F56">
        <f t="shared" ca="1" si="1"/>
        <v>1.0000000000000018E-2</v>
      </c>
    </row>
    <row r="57" spans="2:6" x14ac:dyDescent="0.2">
      <c r="B57" t="str">
        <f>DataInColumns!A53</f>
        <v>The Eagles sang about a Twitchey woman.</v>
      </c>
      <c r="C57">
        <f>DataInColumns!B53</f>
        <v>1</v>
      </c>
      <c r="D57">
        <f ca="1">DataInColumns!C53</f>
        <v>0.28999999999999998</v>
      </c>
      <c r="E57">
        <f t="shared" ca="1" si="0"/>
        <v>0.71</v>
      </c>
      <c r="F57">
        <f t="shared" ca="1" si="1"/>
        <v>0.50409999999999999</v>
      </c>
    </row>
    <row r="58" spans="2:6" x14ac:dyDescent="0.2">
      <c r="B58" t="str">
        <f>DataInColumns!A54</f>
        <v>A giraffe's neck has 47 bones.</v>
      </c>
      <c r="C58">
        <f>DataInColumns!B54</f>
        <v>1</v>
      </c>
      <c r="D58">
        <f ca="1">DataInColumns!C54</f>
        <v>0.79</v>
      </c>
      <c r="E58">
        <f t="shared" ca="1" si="0"/>
        <v>0.20999999999999996</v>
      </c>
      <c r="F58">
        <f t="shared" ca="1" si="1"/>
        <v>4.4099999999999986E-2</v>
      </c>
    </row>
    <row r="59" spans="2:6" x14ac:dyDescent="0.2">
      <c r="B59" t="str">
        <f>DataInColumns!A55</f>
        <v>The first "A" in NASA stands for American.</v>
      </c>
      <c r="C59">
        <f>DataInColumns!B55</f>
        <v>1</v>
      </c>
      <c r="D59">
        <f ca="1">DataInColumns!C55</f>
        <v>0.94</v>
      </c>
      <c r="E59">
        <f t="shared" ca="1" si="0"/>
        <v>6.0000000000000053E-2</v>
      </c>
      <c r="F59">
        <f t="shared" ca="1" si="1"/>
        <v>3.6000000000000064E-3</v>
      </c>
    </row>
    <row r="60" spans="2:6" x14ac:dyDescent="0.2">
      <c r="B60" t="str">
        <f>DataInColumns!A56</f>
        <v>In Greek mythology, Hebe was the goddess of wisdom.</v>
      </c>
      <c r="C60">
        <f>DataInColumns!B56</f>
        <v>1</v>
      </c>
      <c r="D60">
        <f ca="1">DataInColumns!C56</f>
        <v>0.20999999999999996</v>
      </c>
      <c r="E60">
        <f t="shared" ca="1" si="0"/>
        <v>0.79</v>
      </c>
      <c r="F60">
        <f t="shared" ca="1" si="1"/>
        <v>0.6241000000000001</v>
      </c>
    </row>
    <row r="61" spans="2:6" x14ac:dyDescent="0.2">
      <c r="B61" t="str">
        <f>DataInColumns!A57</f>
        <v>Miss Piggy's surname is "Perfecto"</v>
      </c>
      <c r="C61">
        <f>DataInColumns!B57</f>
        <v>1</v>
      </c>
      <c r="D61">
        <f ca="1">DataInColumns!C57</f>
        <v>0.25999999999999995</v>
      </c>
      <c r="E61">
        <f t="shared" ca="1" si="0"/>
        <v>0.74</v>
      </c>
      <c r="F61">
        <f t="shared" ca="1" si="1"/>
        <v>0.54759999999999998</v>
      </c>
    </row>
    <row r="62" spans="2:6" x14ac:dyDescent="0.2">
      <c r="B62" t="str">
        <f>DataInColumns!A58</f>
        <v>"The Jungle Book" was written by Rudyard Kipling.</v>
      </c>
      <c r="C62">
        <f>DataInColumns!B58</f>
        <v>1</v>
      </c>
      <c r="D62">
        <f ca="1">DataInColumns!C58</f>
        <v>0.61</v>
      </c>
      <c r="E62">
        <f t="shared" ca="1" si="0"/>
        <v>0.39</v>
      </c>
      <c r="F62">
        <f t="shared" ca="1" si="1"/>
        <v>0.15210000000000001</v>
      </c>
    </row>
    <row r="63" spans="2:6" x14ac:dyDescent="0.2">
      <c r="B63" t="str">
        <f>DataInColumns!A59</f>
        <v>King Arthur's sword was named "Excalibur."</v>
      </c>
      <c r="C63">
        <f>DataInColumns!B59</f>
        <v>1</v>
      </c>
      <c r="D63">
        <f ca="1">DataInColumns!C59</f>
        <v>0.31999999999999995</v>
      </c>
      <c r="E63">
        <f t="shared" ca="1" si="0"/>
        <v>0.68</v>
      </c>
      <c r="F63">
        <f t="shared" ca="1" si="1"/>
        <v>0.46240000000000009</v>
      </c>
    </row>
    <row r="64" spans="2:6" x14ac:dyDescent="0.2">
      <c r="B64" t="str">
        <f>DataInColumns!A60</f>
        <v>The Republican party is known by the three initials GOP.</v>
      </c>
      <c r="C64">
        <f>DataInColumns!B60</f>
        <v>1</v>
      </c>
      <c r="D64">
        <f ca="1">DataInColumns!C60</f>
        <v>0.66999999999999993</v>
      </c>
      <c r="E64">
        <f t="shared" ca="1" si="0"/>
        <v>0.33000000000000007</v>
      </c>
      <c r="F64">
        <f t="shared" ca="1" si="1"/>
        <v>0.10890000000000005</v>
      </c>
    </row>
    <row r="65" spans="2:6" x14ac:dyDescent="0.2">
      <c r="B65" t="str">
        <f>DataInColumns!A61</f>
        <v>The Football Hall of Fame is located in Springfield, Massachusetts.</v>
      </c>
      <c r="C65">
        <f>DataInColumns!B61</f>
        <v>1</v>
      </c>
      <c r="D65">
        <f ca="1">DataInColumns!C61</f>
        <v>0.42999999999999994</v>
      </c>
      <c r="E65">
        <f t="shared" ca="1" si="0"/>
        <v>0.57000000000000006</v>
      </c>
      <c r="F65">
        <f t="shared" ca="1" si="1"/>
        <v>0.32490000000000008</v>
      </c>
    </row>
    <row r="66" spans="2:6" x14ac:dyDescent="0.2">
      <c r="B66" t="str">
        <f>DataInColumns!A62</f>
        <v>The general store in "Little House on the Prairie" was owned by the Olesons.</v>
      </c>
      <c r="C66">
        <f>DataInColumns!B62</f>
        <v>1</v>
      </c>
      <c r="D66">
        <f ca="1">DataInColumns!C62</f>
        <v>0.75</v>
      </c>
      <c r="E66">
        <f t="shared" ca="1" si="0"/>
        <v>0.25</v>
      </c>
      <c r="F66">
        <f t="shared" ca="1" si="1"/>
        <v>6.25E-2</v>
      </c>
    </row>
    <row r="67" spans="2:6" x14ac:dyDescent="0.2">
      <c r="B67" t="str">
        <f>DataInColumns!A63</f>
        <v>The first bank to open in the US was The Provident Institute for Savings.</v>
      </c>
      <c r="C67">
        <f>DataInColumns!B63</f>
        <v>1</v>
      </c>
      <c r="D67">
        <f ca="1">DataInColumns!C63</f>
        <v>0.8</v>
      </c>
      <c r="E67">
        <f t="shared" ca="1" si="0"/>
        <v>0.19999999999999996</v>
      </c>
      <c r="F67">
        <f t="shared" ca="1" si="1"/>
        <v>3.999999999999998E-2</v>
      </c>
    </row>
    <row r="68" spans="2:6" x14ac:dyDescent="0.2">
      <c r="B68" t="str">
        <f>DataInColumns!A64</f>
        <v>A fish's caudal fin is located on its back.</v>
      </c>
      <c r="C68">
        <f>DataInColumns!B64</f>
        <v>1</v>
      </c>
      <c r="D68">
        <f ca="1">DataInColumns!C64</f>
        <v>0.28999999999999998</v>
      </c>
      <c r="E68">
        <f t="shared" ca="1" si="0"/>
        <v>0.71</v>
      </c>
      <c r="F68">
        <f t="shared" ca="1" si="1"/>
        <v>0.50409999999999999</v>
      </c>
    </row>
    <row r="69" spans="2:6" x14ac:dyDescent="0.2">
      <c r="B69" t="str">
        <f>DataInColumns!A65</f>
        <v>The cartoon character Wile E. Coyote normally chases Pepe le Pew.</v>
      </c>
      <c r="C69">
        <f>DataInColumns!B65</f>
        <v>1</v>
      </c>
      <c r="D69">
        <f ca="1">DataInColumns!C65</f>
        <v>0.80999999999999994</v>
      </c>
      <c r="E69">
        <f t="shared" ca="1" si="0"/>
        <v>0.19000000000000006</v>
      </c>
      <c r="F69">
        <f t="shared" ca="1" si="1"/>
        <v>3.6100000000000021E-2</v>
      </c>
    </row>
    <row r="70" spans="2:6" x14ac:dyDescent="0.2">
      <c r="B70" t="str">
        <f>DataInColumns!A66</f>
        <v>The state flag of Wyoming features a bison.</v>
      </c>
      <c r="C70">
        <f>DataInColumns!B66</f>
        <v>1</v>
      </c>
      <c r="D70">
        <f ca="1">DataInColumns!C66</f>
        <v>0.66999999999999993</v>
      </c>
      <c r="E70">
        <f t="shared" ca="1" si="0"/>
        <v>0.33000000000000007</v>
      </c>
      <c r="F70">
        <f t="shared" ca="1" si="1"/>
        <v>0.10890000000000005</v>
      </c>
    </row>
    <row r="71" spans="2:6" x14ac:dyDescent="0.2">
      <c r="B71" t="str">
        <f>DataInColumns!A67</f>
        <v>The first two Super Bowls were won by the Green Bay Packers.</v>
      </c>
      <c r="C71">
        <f>DataInColumns!B67</f>
        <v>1</v>
      </c>
      <c r="D71">
        <f ca="1">DataInColumns!C67</f>
        <v>0.84</v>
      </c>
      <c r="E71">
        <f t="shared" ref="E71:E105" ca="1" si="2">C71-D71</f>
        <v>0.16000000000000003</v>
      </c>
      <c r="F71">
        <f t="shared" ref="F71:F105" ca="1" si="3">E71*E71</f>
        <v>2.5600000000000012E-2</v>
      </c>
    </row>
    <row r="72" spans="2:6" x14ac:dyDescent="0.2">
      <c r="B72" t="str">
        <f>DataInColumns!A68</f>
        <v>Hot Springs, New Mexico changed its name to Truth or Consequences.</v>
      </c>
      <c r="C72">
        <f>DataInColumns!B68</f>
        <v>1</v>
      </c>
      <c r="D72">
        <f ca="1">DataInColumns!C68</f>
        <v>0.96</v>
      </c>
      <c r="E72">
        <f t="shared" ca="1" si="2"/>
        <v>4.0000000000000036E-2</v>
      </c>
      <c r="F72">
        <f t="shared" ca="1" si="3"/>
        <v>1.6000000000000029E-3</v>
      </c>
    </row>
    <row r="73" spans="2:6" x14ac:dyDescent="0.2">
      <c r="B73" t="str">
        <f>DataInColumns!A69</f>
        <v>The legendary Route 66 crosses six states.</v>
      </c>
      <c r="C73">
        <f>DataInColumns!B69</f>
        <v>1</v>
      </c>
      <c r="D73">
        <f ca="1">DataInColumns!C69</f>
        <v>0.82</v>
      </c>
      <c r="E73">
        <f t="shared" ca="1" si="2"/>
        <v>0.18000000000000005</v>
      </c>
      <c r="F73">
        <f t="shared" ca="1" si="3"/>
        <v>3.2400000000000019E-2</v>
      </c>
    </row>
    <row r="74" spans="2:6" x14ac:dyDescent="0.2">
      <c r="B74" t="str">
        <f>DataInColumns!A70</f>
        <v>"Nobody puts Baby in a corner" is a line from the movie "Dirty Dancing".</v>
      </c>
      <c r="C74">
        <f>DataInColumns!B70</f>
        <v>1</v>
      </c>
      <c r="D74">
        <f ca="1">DataInColumns!C70</f>
        <v>0.95</v>
      </c>
      <c r="E74">
        <f t="shared" ca="1" si="2"/>
        <v>5.0000000000000044E-2</v>
      </c>
      <c r="F74">
        <f t="shared" ca="1" si="3"/>
        <v>2.5000000000000044E-3</v>
      </c>
    </row>
    <row r="75" spans="2:6" x14ac:dyDescent="0.2">
      <c r="B75" t="str">
        <f>DataInColumns!A71</f>
        <v>There are 26 letters in the English alphabet.</v>
      </c>
      <c r="C75">
        <f>DataInColumns!B71</f>
        <v>1</v>
      </c>
      <c r="D75">
        <f ca="1">DataInColumns!C71</f>
        <v>0.36</v>
      </c>
      <c r="E75">
        <f t="shared" ca="1" si="2"/>
        <v>0.64</v>
      </c>
      <c r="F75">
        <f t="shared" ca="1" si="3"/>
        <v>0.40960000000000002</v>
      </c>
    </row>
    <row r="76" spans="2:6" x14ac:dyDescent="0.2">
      <c r="B76" t="str">
        <f>DataInColumns!A72</f>
        <v>In the Walt Disney movie, Snow White's hair is black.</v>
      </c>
      <c r="C76">
        <f>DataInColumns!B72</f>
        <v>1</v>
      </c>
      <c r="D76">
        <f ca="1">DataInColumns!C72</f>
        <v>0.64</v>
      </c>
      <c r="E76">
        <f t="shared" ca="1" si="2"/>
        <v>0.36</v>
      </c>
      <c r="F76">
        <f t="shared" ca="1" si="3"/>
        <v>0.12959999999999999</v>
      </c>
    </row>
    <row r="77" spans="2:6" x14ac:dyDescent="0.2">
      <c r="B77" t="str">
        <f>DataInColumns!A73</f>
        <v>Cincinnati is the hometown of Sylvester Stallone, and his character Rocky.</v>
      </c>
      <c r="C77">
        <f>DataInColumns!B73</f>
        <v>1</v>
      </c>
      <c r="D77">
        <f ca="1">DataInColumns!C73</f>
        <v>0.65999999999999992</v>
      </c>
      <c r="E77">
        <f t="shared" ca="1" si="2"/>
        <v>0.34000000000000008</v>
      </c>
      <c r="F77">
        <f t="shared" ca="1" si="3"/>
        <v>0.11560000000000005</v>
      </c>
    </row>
    <row r="78" spans="2:6" x14ac:dyDescent="0.2">
      <c r="B78" t="str">
        <f>DataInColumns!A74</f>
        <v>Ides of March is celebrated on February 14th.</v>
      </c>
      <c r="C78">
        <f>DataInColumns!B74</f>
        <v>1</v>
      </c>
      <c r="D78">
        <f ca="1">DataInColumns!C74</f>
        <v>0.97</v>
      </c>
      <c r="E78">
        <f t="shared" ca="1" si="2"/>
        <v>3.0000000000000027E-2</v>
      </c>
      <c r="F78">
        <f t="shared" ca="1" si="3"/>
        <v>9.000000000000016E-4</v>
      </c>
    </row>
    <row r="79" spans="2:6" x14ac:dyDescent="0.2">
      <c r="B79" t="str">
        <f>DataInColumns!A75</f>
        <v>Marilyn Monroe's real name was Jayne Mansfield.</v>
      </c>
      <c r="C79">
        <f>DataInColumns!B75</f>
        <v>1</v>
      </c>
      <c r="D79">
        <f ca="1">DataInColumns!C75</f>
        <v>0.67999999999999994</v>
      </c>
      <c r="E79">
        <f t="shared" ca="1" si="2"/>
        <v>0.32000000000000006</v>
      </c>
      <c r="F79">
        <f t="shared" ca="1" si="3"/>
        <v>0.10240000000000005</v>
      </c>
    </row>
    <row r="80" spans="2:6" x14ac:dyDescent="0.2">
      <c r="B80" t="str">
        <f>DataInColumns!A76</f>
        <v>Edwin Land is known for inventing the Post-It note.</v>
      </c>
      <c r="C80">
        <f>DataInColumns!B76</f>
        <v>1</v>
      </c>
      <c r="D80">
        <f ca="1">DataInColumns!C76</f>
        <v>0.20999999999999996</v>
      </c>
      <c r="E80">
        <f t="shared" ca="1" si="2"/>
        <v>0.79</v>
      </c>
      <c r="F80">
        <f t="shared" ca="1" si="3"/>
        <v>0.6241000000000001</v>
      </c>
    </row>
    <row r="81" spans="2:6" x14ac:dyDescent="0.2">
      <c r="B81" t="str">
        <f>DataInColumns!A77</f>
        <v>A theodolyte is a tool used by a surgeon.</v>
      </c>
      <c r="C81">
        <f>DataInColumns!B77</f>
        <v>1</v>
      </c>
      <c r="D81">
        <f ca="1">DataInColumns!C77</f>
        <v>0.28999999999999998</v>
      </c>
      <c r="E81">
        <f t="shared" ca="1" si="2"/>
        <v>0.71</v>
      </c>
      <c r="F81">
        <f t="shared" ca="1" si="3"/>
        <v>0.50409999999999999</v>
      </c>
    </row>
    <row r="82" spans="2:6" x14ac:dyDescent="0.2">
      <c r="B82" t="str">
        <f>DataInColumns!A78</f>
        <v>The name of Winnie-the-Pooh's tiger friend is Shere Khan.</v>
      </c>
      <c r="C82">
        <f>DataInColumns!B78</f>
        <v>1</v>
      </c>
      <c r="D82">
        <f ca="1">DataInColumns!C78</f>
        <v>0.42999999999999994</v>
      </c>
      <c r="E82">
        <f t="shared" ca="1" si="2"/>
        <v>0.57000000000000006</v>
      </c>
      <c r="F82">
        <f t="shared" ca="1" si="3"/>
        <v>0.32490000000000008</v>
      </c>
    </row>
    <row r="83" spans="2:6" x14ac:dyDescent="0.2">
      <c r="B83" t="str">
        <f>DataInColumns!A79</f>
        <v>The "Wal" in Wal-Mart refers to Fats Walter.</v>
      </c>
      <c r="C83">
        <f>DataInColumns!B79</f>
        <v>1</v>
      </c>
      <c r="D83">
        <f ca="1">DataInColumns!C79</f>
        <v>0.33999999999999997</v>
      </c>
      <c r="E83">
        <f t="shared" ca="1" si="2"/>
        <v>0.66</v>
      </c>
      <c r="F83">
        <f t="shared" ca="1" si="3"/>
        <v>0.43560000000000004</v>
      </c>
    </row>
    <row r="84" spans="2:6" x14ac:dyDescent="0.2">
      <c r="B84" t="str">
        <f>DataInColumns!A80</f>
        <v xml:space="preserve">The "Star of Africa" diamond is round shaped. </v>
      </c>
      <c r="C84">
        <f>DataInColumns!B80</f>
        <v>1</v>
      </c>
      <c r="D84">
        <f ca="1">DataInColumns!C80</f>
        <v>0.91999999999999993</v>
      </c>
      <c r="E84">
        <f t="shared" ca="1" si="2"/>
        <v>8.0000000000000071E-2</v>
      </c>
      <c r="F84">
        <f t="shared" ca="1" si="3"/>
        <v>6.4000000000000116E-3</v>
      </c>
    </row>
    <row r="85" spans="2:6" x14ac:dyDescent="0.2">
      <c r="B85" t="str">
        <f>DataInColumns!A81</f>
        <v>In the movies, a werewolf can usually be killed with a silver bullet.</v>
      </c>
      <c r="C85">
        <f>DataInColumns!B81</f>
        <v>1</v>
      </c>
      <c r="D85">
        <f ca="1">DataInColumns!C81</f>
        <v>0.19999999999999996</v>
      </c>
      <c r="E85">
        <f t="shared" ca="1" si="2"/>
        <v>0.8</v>
      </c>
      <c r="F85">
        <f t="shared" ca="1" si="3"/>
        <v>0.64000000000000012</v>
      </c>
    </row>
    <row r="86" spans="2:6" x14ac:dyDescent="0.2">
      <c r="B86" t="str">
        <f>DataInColumns!A82</f>
        <v>The movie Star Trek featured Luke Skywalker.</v>
      </c>
      <c r="C86">
        <f>DataInColumns!B82</f>
        <v>1</v>
      </c>
      <c r="D86">
        <f ca="1">DataInColumns!C82</f>
        <v>0.84</v>
      </c>
      <c r="E86">
        <f t="shared" ca="1" si="2"/>
        <v>0.16000000000000003</v>
      </c>
      <c r="F86">
        <f t="shared" ca="1" si="3"/>
        <v>2.5600000000000012E-2</v>
      </c>
    </row>
    <row r="87" spans="2:6" x14ac:dyDescent="0.2">
      <c r="B87" t="str">
        <f>DataInColumns!A83</f>
        <v>The staple diet of silk worms is hawthorn.</v>
      </c>
      <c r="C87">
        <f>DataInColumns!B83</f>
        <v>1</v>
      </c>
      <c r="D87">
        <f ca="1">DataInColumns!C83</f>
        <v>0.25999999999999995</v>
      </c>
      <c r="E87">
        <f t="shared" ca="1" si="2"/>
        <v>0.74</v>
      </c>
      <c r="F87">
        <f t="shared" ca="1" si="3"/>
        <v>0.54759999999999998</v>
      </c>
    </row>
    <row r="88" spans="2:6" x14ac:dyDescent="0.2">
      <c r="B88" t="str">
        <f>DataInColumns!A84</f>
        <v>The Sorbonne in Paris is an Art Gallery.</v>
      </c>
      <c r="C88">
        <f>DataInColumns!B84</f>
        <v>1</v>
      </c>
      <c r="D88">
        <f ca="1">DataInColumns!C84</f>
        <v>0.43999999999999995</v>
      </c>
      <c r="E88">
        <f t="shared" ca="1" si="2"/>
        <v>0.56000000000000005</v>
      </c>
      <c r="F88">
        <f t="shared" ca="1" si="3"/>
        <v>0.31360000000000005</v>
      </c>
    </row>
    <row r="89" spans="2:6" x14ac:dyDescent="0.2">
      <c r="B89" t="str">
        <f>DataInColumns!A85</f>
        <v>Charles Darwin made his famous voyage on a ship named the Pelican.</v>
      </c>
      <c r="C89">
        <f>DataInColumns!B85</f>
        <v>1</v>
      </c>
      <c r="D89">
        <f ca="1">DataInColumns!C85</f>
        <v>0.85</v>
      </c>
      <c r="E89">
        <f t="shared" ca="1" si="2"/>
        <v>0.15000000000000002</v>
      </c>
      <c r="F89">
        <f t="shared" ca="1" si="3"/>
        <v>2.2500000000000006E-2</v>
      </c>
    </row>
    <row r="90" spans="2:6" x14ac:dyDescent="0.2">
      <c r="B90" t="str">
        <f>DataInColumns!A86</f>
        <v>In the Wizard of Oz, the Tin Man wanted a brain.</v>
      </c>
      <c r="C90">
        <f>DataInColumns!B86</f>
        <v>1</v>
      </c>
      <c r="D90">
        <f ca="1">DataInColumns!C86</f>
        <v>0.97</v>
      </c>
      <c r="E90">
        <f t="shared" ca="1" si="2"/>
        <v>3.0000000000000027E-2</v>
      </c>
      <c r="F90">
        <f t="shared" ca="1" si="3"/>
        <v>9.000000000000016E-4</v>
      </c>
    </row>
    <row r="91" spans="2:6" x14ac:dyDescent="0.2">
      <c r="B91" t="str">
        <f>DataInColumns!A87</f>
        <v>The Greek goddess of love and beauty is Aphrodite.</v>
      </c>
      <c r="C91">
        <f>DataInColumns!B87</f>
        <v>1</v>
      </c>
      <c r="D91">
        <f ca="1">DataInColumns!C87</f>
        <v>0.49</v>
      </c>
      <c r="E91">
        <f t="shared" ca="1" si="2"/>
        <v>0.51</v>
      </c>
      <c r="F91">
        <f t="shared" ca="1" si="3"/>
        <v>0.2601</v>
      </c>
    </row>
    <row r="92" spans="2:6" x14ac:dyDescent="0.2">
      <c r="B92" t="str">
        <f>DataInColumns!A88</f>
        <v>Aviator Charles Lindbergh was known as the "The Lone Eagle."</v>
      </c>
      <c r="C92">
        <f>DataInColumns!B88</f>
        <v>1</v>
      </c>
      <c r="D92">
        <f ca="1">DataInColumns!C88</f>
        <v>0.55999999999999994</v>
      </c>
      <c r="E92">
        <f t="shared" ca="1" si="2"/>
        <v>0.44000000000000006</v>
      </c>
      <c r="F92">
        <f t="shared" ca="1" si="3"/>
        <v>0.19360000000000005</v>
      </c>
    </row>
    <row r="93" spans="2:6" x14ac:dyDescent="0.2">
      <c r="B93" t="str">
        <f>DataInColumns!A89</f>
        <v>Nostradamus was famous for making predictions.</v>
      </c>
      <c r="C93">
        <f>DataInColumns!B89</f>
        <v>1</v>
      </c>
      <c r="D93">
        <f ca="1">DataInColumns!C89</f>
        <v>0.86</v>
      </c>
      <c r="E93">
        <f t="shared" ca="1" si="2"/>
        <v>0.14000000000000001</v>
      </c>
      <c r="F93">
        <f t="shared" ca="1" si="3"/>
        <v>1.9600000000000003E-2</v>
      </c>
    </row>
    <row r="94" spans="2:6" x14ac:dyDescent="0.2">
      <c r="B94" t="str">
        <f>DataInColumns!A90</f>
        <v>The ancient city of Babylon is located in modern-day Jordan.</v>
      </c>
      <c r="C94">
        <f>DataInColumns!B90</f>
        <v>1</v>
      </c>
      <c r="D94">
        <f ca="1">DataInColumns!C90</f>
        <v>0.54999999999999993</v>
      </c>
      <c r="E94">
        <f t="shared" ca="1" si="2"/>
        <v>0.45000000000000007</v>
      </c>
      <c r="F94">
        <f t="shared" ca="1" si="3"/>
        <v>0.20250000000000007</v>
      </c>
    </row>
    <row r="95" spans="2:6" x14ac:dyDescent="0.2">
      <c r="B95" t="str">
        <f>DataInColumns!A91</f>
        <v>The show "The Price is Right" features the catch phrase "Come on Down!"</v>
      </c>
      <c r="C95">
        <f>DataInColumns!B91</f>
        <v>1</v>
      </c>
      <c r="D95">
        <f ca="1">DataInColumns!C91</f>
        <v>0.55999999999999994</v>
      </c>
      <c r="E95">
        <f t="shared" ca="1" si="2"/>
        <v>0.44000000000000006</v>
      </c>
      <c r="F95">
        <f t="shared" ca="1" si="3"/>
        <v>0.19360000000000005</v>
      </c>
    </row>
    <row r="96" spans="2:6" x14ac:dyDescent="0.2">
      <c r="B96" t="str">
        <f>DataInColumns!A92</f>
        <v>At the Olympics, Greg Louganis hit his head on a balance beam.</v>
      </c>
      <c r="C96">
        <f>DataInColumns!B92</f>
        <v>1</v>
      </c>
      <c r="D96">
        <f ca="1">DataInColumns!C92</f>
        <v>0.83</v>
      </c>
      <c r="E96">
        <f t="shared" ca="1" si="2"/>
        <v>0.17000000000000004</v>
      </c>
      <c r="F96">
        <f t="shared" ca="1" si="3"/>
        <v>2.8900000000000012E-2</v>
      </c>
    </row>
    <row r="97" spans="2:6" x14ac:dyDescent="0.2">
      <c r="B97" t="str">
        <f>DataInColumns!A93</f>
        <v>The human hand has 33 bones.</v>
      </c>
      <c r="C97">
        <f>DataInColumns!B93</f>
        <v>1</v>
      </c>
      <c r="D97">
        <f ca="1">DataInColumns!C93</f>
        <v>0.35</v>
      </c>
      <c r="E97">
        <f t="shared" ca="1" si="2"/>
        <v>0.65</v>
      </c>
      <c r="F97">
        <f t="shared" ca="1" si="3"/>
        <v>0.42250000000000004</v>
      </c>
    </row>
    <row r="98" spans="2:6" x14ac:dyDescent="0.2">
      <c r="B98" t="str">
        <f>DataInColumns!A94</f>
        <v>Simon and Garfunkel sang about the Scarborough Fair.</v>
      </c>
      <c r="C98">
        <f>DataInColumns!B94</f>
        <v>1</v>
      </c>
      <c r="D98">
        <f ca="1">DataInColumns!C94</f>
        <v>0.8</v>
      </c>
      <c r="E98">
        <f t="shared" ca="1" si="2"/>
        <v>0.19999999999999996</v>
      </c>
      <c r="F98">
        <f t="shared" ca="1" si="3"/>
        <v>3.999999999999998E-2</v>
      </c>
    </row>
    <row r="99" spans="2:6" x14ac:dyDescent="0.2">
      <c r="B99" t="str">
        <f>DataInColumns!A95</f>
        <v>The largest borough in New York City is Brooklyn.</v>
      </c>
      <c r="C99">
        <f>DataInColumns!B95</f>
        <v>1</v>
      </c>
      <c r="D99">
        <f ca="1">DataInColumns!C95</f>
        <v>0.43999999999999995</v>
      </c>
      <c r="E99">
        <f t="shared" ca="1" si="2"/>
        <v>0.56000000000000005</v>
      </c>
      <c r="F99">
        <f t="shared" ca="1" si="3"/>
        <v>0.31360000000000005</v>
      </c>
    </row>
    <row r="100" spans="2:6" x14ac:dyDescent="0.2">
      <c r="B100" t="str">
        <f>DataInColumns!A96</f>
        <v>The book "Uncle Tom's Cabin" was written by Harriet Beecher Stowe.</v>
      </c>
      <c r="C100">
        <f>DataInColumns!B96</f>
        <v>1</v>
      </c>
      <c r="D100">
        <f ca="1">DataInColumns!C96</f>
        <v>0.62</v>
      </c>
      <c r="E100">
        <f t="shared" ca="1" si="2"/>
        <v>0.38</v>
      </c>
      <c r="F100">
        <f t="shared" ca="1" si="3"/>
        <v>0.1444</v>
      </c>
    </row>
    <row r="101" spans="2:6" x14ac:dyDescent="0.2">
      <c r="B101" t="str">
        <f>DataInColumns!A97</f>
        <v>Purple is not a primary color.</v>
      </c>
      <c r="C101">
        <f>DataInColumns!B97</f>
        <v>1</v>
      </c>
      <c r="D101">
        <f ca="1">DataInColumns!C97</f>
        <v>0.39</v>
      </c>
      <c r="E101">
        <f t="shared" ca="1" si="2"/>
        <v>0.61</v>
      </c>
      <c r="F101">
        <f t="shared" ca="1" si="3"/>
        <v>0.37209999999999999</v>
      </c>
    </row>
    <row r="102" spans="2:6" x14ac:dyDescent="0.2">
      <c r="B102" t="str">
        <f>DataInColumns!A98</f>
        <v>Burt Lancaster starred in a movie as the "Birdman of Alcatraz"</v>
      </c>
      <c r="C102">
        <f>DataInColumns!B98</f>
        <v>1</v>
      </c>
      <c r="D102">
        <f ca="1">DataInColumns!C98</f>
        <v>0.78</v>
      </c>
      <c r="E102">
        <f t="shared" ca="1" si="2"/>
        <v>0.21999999999999997</v>
      </c>
      <c r="F102">
        <f t="shared" ca="1" si="3"/>
        <v>4.8399999999999992E-2</v>
      </c>
    </row>
    <row r="103" spans="2:6" x14ac:dyDescent="0.2">
      <c r="B103" t="str">
        <f>DataInColumns!A99</f>
        <v>The two official languages of the Olympic Movement are English and French.</v>
      </c>
      <c r="C103">
        <f>DataInColumns!B99</f>
        <v>1</v>
      </c>
      <c r="D103">
        <f ca="1">DataInColumns!C99</f>
        <v>0.6</v>
      </c>
      <c r="E103">
        <f t="shared" ca="1" si="2"/>
        <v>0.4</v>
      </c>
      <c r="F103">
        <f t="shared" ca="1" si="3"/>
        <v>0.16000000000000003</v>
      </c>
    </row>
    <row r="104" spans="2:6" x14ac:dyDescent="0.2">
      <c r="B104" t="str">
        <f>DataInColumns!A100</f>
        <v>In Spanish, the word "alcatraz" means Eagle.</v>
      </c>
      <c r="C104">
        <f>DataInColumns!B100</f>
        <v>1</v>
      </c>
      <c r="D104">
        <f ca="1">DataInColumns!C100</f>
        <v>0.80999999999999994</v>
      </c>
      <c r="E104">
        <f t="shared" ca="1" si="2"/>
        <v>0.19000000000000006</v>
      </c>
      <c r="F104">
        <f t="shared" ca="1" si="3"/>
        <v>3.6100000000000021E-2</v>
      </c>
    </row>
    <row r="105" spans="2:6" x14ac:dyDescent="0.2">
      <c r="B105" t="str">
        <f>DataInColumns!A101</f>
        <v xml:space="preserve">Senator Joseph McCarthy's middle name is Raymond. </v>
      </c>
      <c r="C105">
        <f>DataInColumns!B101</f>
        <v>1</v>
      </c>
      <c r="D105">
        <f ca="1">DataInColumns!C101</f>
        <v>0.54</v>
      </c>
      <c r="E105">
        <f t="shared" ca="1" si="2"/>
        <v>0.45999999999999996</v>
      </c>
      <c r="F105">
        <f t="shared" ca="1" si="3"/>
        <v>0.21159999999999995</v>
      </c>
    </row>
  </sheetData>
  <mergeCells count="1">
    <mergeCell ref="A1:H1"/>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P22"/>
  <sheetViews>
    <sheetView workbookViewId="0">
      <selection activeCell="K18" sqref="K18"/>
    </sheetView>
  </sheetViews>
  <sheetFormatPr defaultRowHeight="12.75" x14ac:dyDescent="0.2"/>
  <cols>
    <col min="2" max="2" width="6.7109375" customWidth="1"/>
    <col min="3" max="3" width="4" customWidth="1"/>
    <col min="4" max="4" width="11.28515625" customWidth="1"/>
    <col min="7" max="7" width="5.85546875" customWidth="1"/>
    <col min="8" max="8" width="19.85546875" customWidth="1"/>
    <col min="9" max="9" width="11.42578125" customWidth="1"/>
    <col min="10" max="10" width="18.28515625" customWidth="1"/>
    <col min="12" max="12" width="9.140625" style="4"/>
  </cols>
  <sheetData>
    <row r="1" spans="1:16" x14ac:dyDescent="0.2">
      <c r="A1" s="90" t="str">
        <f>MonkeyPaste!$K$6</f>
        <v>Market Price (6 mo prior)</v>
      </c>
      <c r="B1" s="90"/>
      <c r="C1" s="90"/>
      <c r="D1" s="90"/>
      <c r="E1" s="90"/>
      <c r="F1" s="90"/>
      <c r="G1" s="90"/>
      <c r="H1" s="90"/>
      <c r="I1" s="90"/>
    </row>
    <row r="2" spans="1:16" x14ac:dyDescent="0.2">
      <c r="B2">
        <f>MonkeyPaste!$DQ$6</f>
        <v>0</v>
      </c>
    </row>
    <row r="3" spans="1:16" ht="38.25" x14ac:dyDescent="0.2">
      <c r="H3" s="36" t="s">
        <v>187</v>
      </c>
      <c r="I3" s="25" t="s">
        <v>188</v>
      </c>
      <c r="J3" s="22" t="s">
        <v>185</v>
      </c>
    </row>
    <row r="4" spans="1:16" x14ac:dyDescent="0.2">
      <c r="E4" s="15"/>
      <c r="F4" s="15"/>
      <c r="G4" s="15"/>
      <c r="H4" s="18">
        <f>CI!B4</f>
        <v>0</v>
      </c>
      <c r="I4" s="19">
        <f ca="1">IFERROR(CI!B10,0)</f>
        <v>0</v>
      </c>
      <c r="J4" s="21">
        <f ca="1">I4</f>
        <v>0</v>
      </c>
    </row>
    <row r="5" spans="1:16" x14ac:dyDescent="0.2">
      <c r="E5" s="9"/>
      <c r="F5" s="9"/>
      <c r="G5" s="9"/>
      <c r="H5" s="18">
        <f ca="1">IF(CI!C7=0,0,CI!C4)</f>
        <v>0.1</v>
      </c>
      <c r="I5" s="19">
        <f ca="1">IFERROR(CI!B11,0)</f>
        <v>0</v>
      </c>
      <c r="J5" s="21">
        <f t="shared" ref="J5:J10" ca="1" si="0">I5</f>
        <v>0</v>
      </c>
      <c r="K5" s="8"/>
      <c r="L5" s="10"/>
      <c r="M5" s="8"/>
      <c r="N5" s="8"/>
      <c r="O5" s="8"/>
      <c r="P5" s="8"/>
    </row>
    <row r="6" spans="1:16" x14ac:dyDescent="0.2">
      <c r="E6" s="8"/>
      <c r="F6" s="8"/>
      <c r="G6" s="8"/>
      <c r="H6" s="18">
        <f ca="1">IF(CI!E7=0,0,CI!E4)</f>
        <v>0.3</v>
      </c>
      <c r="I6" s="19">
        <f ca="1">IFERROR(CI!B13,0)</f>
        <v>0.58333333333333337</v>
      </c>
      <c r="J6" s="21">
        <f t="shared" ca="1" si="0"/>
        <v>0.58333333333333337</v>
      </c>
      <c r="K6" s="8"/>
      <c r="L6" s="10"/>
      <c r="M6" s="8"/>
      <c r="N6" s="8"/>
      <c r="O6" s="8"/>
      <c r="P6" s="8"/>
    </row>
    <row r="7" spans="1:16" x14ac:dyDescent="0.2">
      <c r="E7" s="8"/>
      <c r="F7" s="8"/>
      <c r="G7" s="8"/>
      <c r="H7" s="18">
        <f ca="1">IF(CI!G7=0,0,CI!G4)</f>
        <v>0.5</v>
      </c>
      <c r="I7" s="19">
        <f ca="1">IFERROR(CI!B15,0)</f>
        <v>0.2</v>
      </c>
      <c r="J7" s="21">
        <f t="shared" ca="1" si="0"/>
        <v>0.2</v>
      </c>
      <c r="K7" s="8"/>
      <c r="L7" s="10"/>
      <c r="M7" s="8"/>
      <c r="N7" s="8"/>
      <c r="O7" s="8"/>
      <c r="P7" s="8"/>
    </row>
    <row r="8" spans="1:16" x14ac:dyDescent="0.2">
      <c r="E8" s="8"/>
      <c r="F8" s="8"/>
      <c r="G8" s="8"/>
      <c r="H8" s="18">
        <f ca="1">IF(CI!I7=0,0,CI!I4)</f>
        <v>0.7</v>
      </c>
      <c r="I8" s="19">
        <f ca="1">IFERROR(CI!B17,0)</f>
        <v>0.5</v>
      </c>
      <c r="J8" s="21">
        <f t="shared" ca="1" si="0"/>
        <v>0.5</v>
      </c>
      <c r="K8" s="8"/>
      <c r="L8" s="10"/>
      <c r="M8" s="8"/>
      <c r="N8" s="8"/>
      <c r="O8" s="8"/>
      <c r="P8" s="8"/>
    </row>
    <row r="9" spans="1:16" s="2" customFormat="1" x14ac:dyDescent="0.2">
      <c r="E9" s="11"/>
      <c r="F9" s="11"/>
      <c r="G9" s="11"/>
      <c r="H9" s="18">
        <f ca="1">IF(CI!K7=0,0,CI!K4)</f>
        <v>0.9</v>
      </c>
      <c r="I9" s="19">
        <f ca="1">IFERROR(CI!B19,0)</f>
        <v>1</v>
      </c>
      <c r="J9" s="21">
        <f t="shared" ca="1" si="0"/>
        <v>1</v>
      </c>
      <c r="K9" s="11"/>
      <c r="L9" s="11"/>
      <c r="M9" s="11"/>
      <c r="N9" s="11"/>
      <c r="O9" s="11"/>
      <c r="P9" s="11"/>
    </row>
    <row r="10" spans="1:16" x14ac:dyDescent="0.2">
      <c r="E10" s="8"/>
      <c r="F10" s="8"/>
      <c r="G10" s="8"/>
      <c r="H10" s="18">
        <f ca="1">IF(CI!L7=0,0,CI!L4)</f>
        <v>1</v>
      </c>
      <c r="I10" s="19">
        <f ca="1">IFERROR(CI!B20,0)</f>
        <v>1</v>
      </c>
      <c r="J10" s="21">
        <f t="shared" ca="1" si="0"/>
        <v>1</v>
      </c>
      <c r="K10" s="8"/>
      <c r="L10" s="10"/>
      <c r="M10" s="8"/>
      <c r="N10" s="8"/>
      <c r="O10" s="8"/>
      <c r="P10" s="8"/>
    </row>
    <row r="11" spans="1:16" ht="13.5" thickBot="1" x14ac:dyDescent="0.25">
      <c r="E11" s="8"/>
      <c r="F11" s="8"/>
      <c r="G11" s="8"/>
      <c r="I11" s="8"/>
      <c r="J11" s="8"/>
      <c r="K11" s="8"/>
      <c r="L11" s="10"/>
      <c r="M11" s="8"/>
      <c r="N11" s="8"/>
      <c r="O11" s="8"/>
      <c r="P11" s="8"/>
    </row>
    <row r="12" spans="1:16" ht="13.5" thickBot="1" x14ac:dyDescent="0.25">
      <c r="E12" s="8"/>
      <c r="F12" s="12"/>
      <c r="G12" s="14"/>
      <c r="H12" s="38" t="s">
        <v>217</v>
      </c>
      <c r="I12" s="39">
        <f ca="1">'Mean PS'!D3</f>
        <v>0.20172400000000007</v>
      </c>
      <c r="J12" s="13"/>
      <c r="K12" s="60" t="s">
        <v>255</v>
      </c>
      <c r="L12" s="10"/>
      <c r="M12" s="8"/>
      <c r="N12" s="8"/>
      <c r="O12" s="8"/>
      <c r="P12" s="8"/>
    </row>
    <row r="13" spans="1:16" ht="13.5" thickBot="1" x14ac:dyDescent="0.25">
      <c r="C13" s="12"/>
      <c r="D13" s="13"/>
      <c r="E13" s="8"/>
      <c r="F13" s="12"/>
      <c r="G13" s="14"/>
      <c r="H13" s="40" t="s">
        <v>218</v>
      </c>
      <c r="I13" s="39">
        <f ca="1">DI!B23</f>
        <v>7.3258974358974355E-2</v>
      </c>
      <c r="K13" s="2" t="s">
        <v>215</v>
      </c>
      <c r="L13">
        <f ca="1">'Mean PS'!D3</f>
        <v>0.20172400000000007</v>
      </c>
      <c r="M13" s="8"/>
      <c r="N13" s="8"/>
      <c r="O13" s="8"/>
      <c r="P13" s="8"/>
    </row>
    <row r="14" spans="1:16" ht="13.5" thickBot="1" x14ac:dyDescent="0.25">
      <c r="C14" s="12"/>
      <c r="D14" s="13"/>
      <c r="E14" s="8"/>
      <c r="F14" s="12"/>
      <c r="G14" s="14"/>
      <c r="H14" s="40" t="s">
        <v>184</v>
      </c>
      <c r="I14" s="39">
        <f ca="1">CI!B23</f>
        <v>3.6658974358974354E-2</v>
      </c>
      <c r="L14"/>
      <c r="M14" s="8"/>
      <c r="N14" s="8"/>
      <c r="O14" s="8"/>
      <c r="P14" s="8"/>
    </row>
    <row r="15" spans="1:16" x14ac:dyDescent="0.2">
      <c r="C15" s="12"/>
      <c r="D15" s="13"/>
      <c r="E15" s="8"/>
      <c r="F15" s="12"/>
      <c r="G15" s="14"/>
      <c r="H15" s="8"/>
      <c r="I15" s="8"/>
      <c r="K15" s="20" t="s">
        <v>216</v>
      </c>
      <c r="L15">
        <f ca="1">'Var(d)'!D7-DI!B23+CI!B23</f>
        <v>0.21330000000000002</v>
      </c>
      <c r="M15" s="8"/>
      <c r="N15" s="8"/>
      <c r="O15" s="8"/>
      <c r="P15" s="8"/>
    </row>
    <row r="16" spans="1:16" x14ac:dyDescent="0.2">
      <c r="C16" s="12"/>
      <c r="D16" s="13"/>
      <c r="E16" s="8"/>
      <c r="F16" s="12"/>
      <c r="G16" s="14"/>
      <c r="H16" s="8"/>
      <c r="I16" s="8"/>
      <c r="J16" s="8"/>
      <c r="K16" s="8"/>
      <c r="L16" s="10"/>
      <c r="M16" s="8"/>
      <c r="N16" s="8"/>
      <c r="O16" s="8"/>
      <c r="P16" s="8"/>
    </row>
    <row r="17" spans="1:16" x14ac:dyDescent="0.2">
      <c r="C17" s="12"/>
      <c r="D17" s="13"/>
      <c r="E17" s="8"/>
      <c r="F17" s="12"/>
      <c r="G17" s="14"/>
      <c r="H17" s="8"/>
      <c r="I17" s="8"/>
      <c r="J17" s="8"/>
      <c r="K17" s="8"/>
      <c r="L17" s="10"/>
      <c r="M17" s="8"/>
      <c r="N17" s="8"/>
      <c r="O17" s="8"/>
      <c r="P17" s="8"/>
    </row>
    <row r="18" spans="1:16" ht="141" customHeight="1" x14ac:dyDescent="0.2">
      <c r="A18" s="91" t="s">
        <v>229</v>
      </c>
      <c r="B18" s="91"/>
      <c r="C18" s="91"/>
      <c r="D18" s="91"/>
      <c r="E18" s="91"/>
      <c r="F18" s="91"/>
      <c r="G18" s="91"/>
      <c r="H18" s="91"/>
      <c r="I18" s="91"/>
    </row>
    <row r="20" spans="1:16" ht="89.25" customHeight="1" x14ac:dyDescent="0.2">
      <c r="A20" s="91" t="s">
        <v>235</v>
      </c>
      <c r="B20" s="91"/>
      <c r="C20" s="91"/>
      <c r="D20" s="91"/>
      <c r="E20" s="91"/>
      <c r="F20" s="91"/>
      <c r="G20" s="91"/>
      <c r="H20" s="91"/>
      <c r="I20" s="91"/>
    </row>
    <row r="21" spans="1:16" x14ac:dyDescent="0.2">
      <c r="D21" s="6"/>
      <c r="E21" s="6"/>
      <c r="F21" s="6"/>
      <c r="G21" s="6"/>
      <c r="H21" s="6"/>
      <c r="I21" s="6"/>
      <c r="J21" s="6"/>
    </row>
    <row r="22" spans="1:16" ht="64.5" customHeight="1" x14ac:dyDescent="0.2">
      <c r="A22" s="91" t="s">
        <v>219</v>
      </c>
      <c r="B22" s="91"/>
      <c r="C22" s="91"/>
      <c r="D22" s="91"/>
      <c r="E22" s="91"/>
      <c r="F22" s="91"/>
      <c r="G22" s="91"/>
      <c r="H22" s="91"/>
      <c r="I22" s="91"/>
      <c r="J22" s="1"/>
    </row>
  </sheetData>
  <mergeCells count="4">
    <mergeCell ref="A18:I18"/>
    <mergeCell ref="A20:I20"/>
    <mergeCell ref="A1:I1"/>
    <mergeCell ref="A22:I22"/>
  </mergeCells>
  <conditionalFormatting sqref="H5:H10">
    <cfRule type="cellIs" dxfId="6" priority="7" operator="equal">
      <formula>0</formula>
    </cfRule>
  </conditionalFormatting>
  <conditionalFormatting sqref="I5">
    <cfRule type="expression" dxfId="5" priority="6">
      <formula>$H$5=0</formula>
    </cfRule>
  </conditionalFormatting>
  <conditionalFormatting sqref="I6">
    <cfRule type="expression" dxfId="4" priority="5">
      <formula>$H$6=0</formula>
    </cfRule>
  </conditionalFormatting>
  <conditionalFormatting sqref="I7">
    <cfRule type="expression" dxfId="3" priority="4">
      <formula>$H$7=0</formula>
    </cfRule>
  </conditionalFormatting>
  <conditionalFormatting sqref="I8">
    <cfRule type="expression" dxfId="2" priority="3">
      <formula>$H$8=0</formula>
    </cfRule>
  </conditionalFormatting>
  <conditionalFormatting sqref="I9">
    <cfRule type="expression" dxfId="1" priority="2">
      <formula>$H$9=0</formula>
    </cfRule>
  </conditionalFormatting>
  <conditionalFormatting sqref="I10">
    <cfRule type="expression" dxfId="0" priority="1">
      <formula>$H$10=0</formula>
    </cfRule>
  </conditionalFormatting>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B1:L7"/>
  <sheetViews>
    <sheetView workbookViewId="0">
      <selection activeCell="E16" sqref="E16"/>
    </sheetView>
  </sheetViews>
  <sheetFormatPr defaultRowHeight="12.75" x14ac:dyDescent="0.2"/>
  <sheetData>
    <row r="1" spans="2:12" x14ac:dyDescent="0.2">
      <c r="B1" s="90" t="s">
        <v>212</v>
      </c>
      <c r="C1" s="90"/>
      <c r="D1" s="90"/>
      <c r="E1" s="90"/>
      <c r="F1" s="90"/>
      <c r="G1" s="90"/>
      <c r="H1" s="90"/>
      <c r="I1" s="90"/>
      <c r="J1" s="90"/>
      <c r="K1" s="90"/>
      <c r="L1" s="90"/>
    </row>
    <row r="3" spans="2:12" x14ac:dyDescent="0.2">
      <c r="C3" s="2" t="s">
        <v>213</v>
      </c>
      <c r="D3">
        <f>VAR(DataInColumns!B2:B101)</f>
        <v>0.25242424242424238</v>
      </c>
    </row>
    <row r="6" spans="2:12" x14ac:dyDescent="0.2">
      <c r="B6" s="52"/>
      <c r="C6" s="52"/>
      <c r="D6" s="52"/>
    </row>
    <row r="7" spans="2:12" x14ac:dyDescent="0.2">
      <c r="B7" s="52"/>
      <c r="C7" s="53" t="s">
        <v>214</v>
      </c>
      <c r="D7" s="54">
        <f>AVERAGE(DataInColumns!B2:B101)*(1-(AVERAGE(DataInColumns!B2:B101)))</f>
        <v>0.24990000000000001</v>
      </c>
    </row>
  </sheetData>
  <mergeCells count="1">
    <mergeCell ref="B1:L1"/>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M35"/>
  <sheetViews>
    <sheetView workbookViewId="0">
      <selection activeCell="I16" sqref="I16"/>
    </sheetView>
  </sheetViews>
  <sheetFormatPr defaultRowHeight="12.75" x14ac:dyDescent="0.2"/>
  <cols>
    <col min="1" max="1" width="12.140625" customWidth="1"/>
    <col min="2" max="2" width="15.42578125" bestFit="1" customWidth="1"/>
    <col min="10" max="10" width="9.140625" style="4"/>
  </cols>
  <sheetData>
    <row r="1" spans="1:13" x14ac:dyDescent="0.2">
      <c r="A1" s="90"/>
      <c r="B1" s="90"/>
      <c r="C1" s="90"/>
      <c r="D1" s="90"/>
      <c r="E1" s="90"/>
      <c r="F1" s="90"/>
      <c r="G1" s="90"/>
      <c r="H1" s="90"/>
      <c r="I1" s="90"/>
      <c r="J1" s="90"/>
    </row>
    <row r="2" spans="1:13" x14ac:dyDescent="0.2">
      <c r="A2" s="23"/>
      <c r="B2" s="23"/>
      <c r="C2" s="23"/>
      <c r="D2" s="23"/>
      <c r="E2" s="23"/>
      <c r="F2" s="23"/>
      <c r="G2" s="23"/>
      <c r="H2" s="23"/>
      <c r="I2" s="23"/>
      <c r="J2" s="23"/>
    </row>
    <row r="3" spans="1:13" ht="14.25" x14ac:dyDescent="0.25">
      <c r="B3" s="92" t="s">
        <v>196</v>
      </c>
      <c r="C3" s="92"/>
      <c r="D3" s="92"/>
      <c r="E3" s="92"/>
      <c r="F3" s="92"/>
      <c r="G3" s="92"/>
      <c r="H3" s="92"/>
    </row>
    <row r="4" spans="1:13" x14ac:dyDescent="0.2">
      <c r="A4" s="2" t="s">
        <v>197</v>
      </c>
      <c r="B4" s="16">
        <v>0</v>
      </c>
      <c r="C4" s="16">
        <v>0.1</v>
      </c>
      <c r="D4" s="16">
        <v>0.2</v>
      </c>
      <c r="E4" s="16">
        <v>0.3</v>
      </c>
      <c r="F4" s="16">
        <v>0.4</v>
      </c>
      <c r="G4" s="16">
        <v>0.5</v>
      </c>
      <c r="H4" s="16">
        <v>0.6</v>
      </c>
      <c r="I4" s="16">
        <v>0.7</v>
      </c>
      <c r="J4" s="16">
        <v>0.8</v>
      </c>
      <c r="K4" s="16">
        <v>0.9</v>
      </c>
      <c r="L4" s="16">
        <v>1</v>
      </c>
      <c r="M4" s="4" t="s">
        <v>127</v>
      </c>
    </row>
    <row r="5" spans="1:13" x14ac:dyDescent="0.2">
      <c r="A5" s="2" t="s">
        <v>128</v>
      </c>
      <c r="B5" s="3">
        <f ca="1">COUNTIFS(DataInColumns!$E$2:$E$101,"0",DataInColumns!$B$2:$B$101,"1")</f>
        <v>0</v>
      </c>
      <c r="C5" s="3">
        <f ca="1">COUNTIFS(DataInColumns!$E$2:$E$101,"0.1",DataInColumns!$B$2:$B$101,"1")</f>
        <v>0</v>
      </c>
      <c r="D5" s="3">
        <f ca="1">COUNTIFS(DataInColumns!$E$2:$E$101,"0.2",DataInColumns!$B$2:$B$101,"1")</f>
        <v>3</v>
      </c>
      <c r="E5" s="3">
        <f ca="1">COUNTIFS(DataInColumns!$E$2:$E$101,"0.3",DataInColumns!$B$2:$B$101,"1")</f>
        <v>7</v>
      </c>
      <c r="F5" s="3">
        <f ca="1">COUNTIFS(DataInColumns!$E$2:$E$101,"0.4",DataInColumns!$B$2:$B$101,"1")</f>
        <v>7</v>
      </c>
      <c r="G5" s="3">
        <f ca="1">COUNTIFS(DataInColumns!$E$2:$E$101,"0.5",DataInColumns!$B$2:$B$101,"1")</f>
        <v>2</v>
      </c>
      <c r="H5" s="3">
        <f ca="1">COUNTIFS(DataInColumns!$E$2:$E$101,"0.6",DataInColumns!$B$2:$B$101,"1")</f>
        <v>7</v>
      </c>
      <c r="I5" s="3">
        <f ca="1">COUNTIFS(DataInColumns!$E$2:$E$101,"0.7",DataInColumns!$B$2:$B$101,"1")</f>
        <v>4</v>
      </c>
      <c r="J5" s="3">
        <f ca="1">COUNTIFS(DataInColumns!$E$2:$E$101,"0.8",DataInColumns!$B$2:$B$101,"1")</f>
        <v>12</v>
      </c>
      <c r="K5" s="3">
        <f ca="1">COUNTIFS(DataInColumns!$E$2:$E$101,"0.9",DataInColumns!$B$2:$B$101,"1")</f>
        <v>5</v>
      </c>
      <c r="L5" s="3">
        <f ca="1">COUNTIFS(DataInColumns!$E$2:$E$101,"1",DataInColumns!$B$2:$B$101,"1")</f>
        <v>4</v>
      </c>
      <c r="M5" s="4">
        <f ca="1">SUM(B5:L5)</f>
        <v>51</v>
      </c>
    </row>
    <row r="6" spans="1:13" x14ac:dyDescent="0.2">
      <c r="A6" s="2" t="s">
        <v>129</v>
      </c>
      <c r="B6" s="3">
        <f ca="1">COUNTIFS(DataInColumns!$E$2:$E$101,"0",DataInColumns!$B$2:$B$101,"0")</f>
        <v>3</v>
      </c>
      <c r="C6" s="3">
        <f ca="1">COUNTIFS(DataInColumns!$E$2:$E$101,"0.1",DataInColumns!$B$2:$B$101,"0")</f>
        <v>8</v>
      </c>
      <c r="D6" s="3">
        <f ca="1">COUNTIFS(DataInColumns!$E$2:$E$101,"0.2",DataInColumns!$B$2:$B$101,"0")</f>
        <v>6</v>
      </c>
      <c r="E6" s="3">
        <f ca="1">COUNTIFS(DataInColumns!$E$2:$E$101,"0.3",DataInColumns!$B$2:$B$101,"0")</f>
        <v>5</v>
      </c>
      <c r="F6" s="3">
        <f ca="1">COUNTIFS(DataInColumns!$E$2:$E$101,"0.4",DataInColumns!$B$2:$B$101,"0")</f>
        <v>6</v>
      </c>
      <c r="G6" s="3">
        <f ca="1">COUNTIFS(DataInColumns!$E$2:$E$101,"0.5",DataInColumns!$B$2:$B$101,"0")</f>
        <v>8</v>
      </c>
      <c r="H6" s="3">
        <f ca="1">COUNTIFS(DataInColumns!$E$2:$E$101,"0.6",DataInColumns!$B$2:$B$101,"0")</f>
        <v>5</v>
      </c>
      <c r="I6" s="3">
        <f ca="1">COUNTIFS(DataInColumns!$E$2:$E$101,"0.7",DataInColumns!$B$2:$B$101,"0")</f>
        <v>4</v>
      </c>
      <c r="J6" s="3">
        <f ca="1">COUNTIFS(DataInColumns!$E$2:$E$101,"0.8",DataInColumns!$B$2:$B$101,"0")</f>
        <v>4</v>
      </c>
      <c r="K6" s="3">
        <f ca="1">COUNTIFS(DataInColumns!$E$2:$E$101,"0.9",DataInColumns!$B$2:$B$101,"0")</f>
        <v>0</v>
      </c>
      <c r="L6" s="3">
        <f ca="1">COUNTIFS(DataInColumns!$E$2:$E$101,"1",DataInColumns!$B$2:$B$101,"0")</f>
        <v>0</v>
      </c>
      <c r="M6" s="4">
        <f ca="1">SUM(B6:L6)</f>
        <v>49</v>
      </c>
    </row>
    <row r="7" spans="1:13" s="4" customFormat="1" x14ac:dyDescent="0.2">
      <c r="A7" s="4" t="s">
        <v>127</v>
      </c>
      <c r="B7" s="4">
        <f t="shared" ref="B7:L7" ca="1" si="0">SUM(B5:B6)</f>
        <v>3</v>
      </c>
      <c r="C7" s="4">
        <f t="shared" ca="1" si="0"/>
        <v>8</v>
      </c>
      <c r="D7" s="4">
        <f t="shared" ca="1" si="0"/>
        <v>9</v>
      </c>
      <c r="E7" s="4">
        <f t="shared" ca="1" si="0"/>
        <v>12</v>
      </c>
      <c r="F7" s="4">
        <f t="shared" ca="1" si="0"/>
        <v>13</v>
      </c>
      <c r="G7" s="4">
        <f t="shared" ca="1" si="0"/>
        <v>10</v>
      </c>
      <c r="H7" s="4">
        <f t="shared" ca="1" si="0"/>
        <v>12</v>
      </c>
      <c r="I7" s="4">
        <f t="shared" ca="1" si="0"/>
        <v>8</v>
      </c>
      <c r="J7" s="4">
        <f t="shared" ca="1" si="0"/>
        <v>16</v>
      </c>
      <c r="K7" s="4">
        <f t="shared" ca="1" si="0"/>
        <v>5</v>
      </c>
      <c r="L7" s="4">
        <f t="shared" ca="1" si="0"/>
        <v>4</v>
      </c>
      <c r="M7" s="4">
        <f ca="1">SUM(B7:L7)</f>
        <v>100</v>
      </c>
    </row>
    <row r="10" spans="1:13" ht="15" x14ac:dyDescent="0.25">
      <c r="A10" s="5" t="s">
        <v>193</v>
      </c>
      <c r="B10" s="6">
        <f ca="1">B$5/B$7</f>
        <v>0</v>
      </c>
      <c r="D10" s="5" t="s">
        <v>223</v>
      </c>
      <c r="E10" s="7">
        <f ca="1">B$7*(($M$5/$M$7)-B10)*(($M$5/$M$7)-B10)</f>
        <v>0.78029999999999999</v>
      </c>
      <c r="F10">
        <f ca="1">IFERROR(E10,0)</f>
        <v>0.78029999999999999</v>
      </c>
    </row>
    <row r="11" spans="1:13" ht="15" x14ac:dyDescent="0.25">
      <c r="A11" s="5" t="s">
        <v>194</v>
      </c>
      <c r="B11" s="6">
        <f ca="1">C$5/C$7</f>
        <v>0</v>
      </c>
      <c r="D11" s="5" t="s">
        <v>224</v>
      </c>
      <c r="E11" s="7">
        <f ca="1">C$7*(($M$5/$M$7)-B11)*(($M$5/$M$7)-B11)</f>
        <v>2.0808</v>
      </c>
      <c r="F11">
        <f t="shared" ref="F11:F20" ca="1" si="1">IFERROR(E11,0)</f>
        <v>2.0808</v>
      </c>
    </row>
    <row r="12" spans="1:13" ht="15" x14ac:dyDescent="0.25">
      <c r="A12" s="5" t="s">
        <v>359</v>
      </c>
      <c r="B12" s="6">
        <f ca="1">D$5/D$7</f>
        <v>0.33333333333333331</v>
      </c>
      <c r="D12" s="5" t="s">
        <v>366</v>
      </c>
      <c r="E12" s="7">
        <f ca="1">D$7*(($M$5/$M$7)-B12)*(($M$5/$M$7)-B12)</f>
        <v>0.28090000000000009</v>
      </c>
      <c r="F12">
        <f t="shared" ca="1" si="1"/>
        <v>0.28090000000000009</v>
      </c>
    </row>
    <row r="13" spans="1:13" ht="15" x14ac:dyDescent="0.25">
      <c r="A13" s="5" t="s">
        <v>195</v>
      </c>
      <c r="B13" s="6">
        <f ca="1">E$5/E$7</f>
        <v>0.58333333333333337</v>
      </c>
      <c r="D13" s="5" t="s">
        <v>225</v>
      </c>
      <c r="E13" s="7">
        <f ca="1">E$7*(($M$5/$M$7)-B13)*(($M$5/$M$7)-B13)</f>
        <v>6.4533333333333387E-2</v>
      </c>
      <c r="F13">
        <f t="shared" ca="1" si="1"/>
        <v>6.4533333333333387E-2</v>
      </c>
    </row>
    <row r="14" spans="1:13" ht="15" x14ac:dyDescent="0.25">
      <c r="A14" s="5" t="s">
        <v>360</v>
      </c>
      <c r="B14" s="6">
        <f ca="1">F$5/F$7</f>
        <v>0.53846153846153844</v>
      </c>
      <c r="D14" s="5" t="s">
        <v>365</v>
      </c>
      <c r="E14" s="7">
        <f ca="1">F$7*(($M$5/$M$7)-B14)*(($M$5/$M$7)-B14)</f>
        <v>1.0530769230769205E-2</v>
      </c>
      <c r="F14">
        <f t="shared" ca="1" si="1"/>
        <v>1.0530769230769205E-2</v>
      </c>
    </row>
    <row r="15" spans="1:13" ht="15" x14ac:dyDescent="0.25">
      <c r="A15" s="5" t="s">
        <v>198</v>
      </c>
      <c r="B15" s="6">
        <f ca="1">G$5/G$7</f>
        <v>0.2</v>
      </c>
      <c r="D15" s="5" t="s">
        <v>226</v>
      </c>
      <c r="E15" s="7">
        <f ca="1">G$7*(($M$5/$M$7)-B15)*(($M$5/$M$7)-B15)</f>
        <v>0.96099999999999997</v>
      </c>
      <c r="F15">
        <f t="shared" ca="1" si="1"/>
        <v>0.96099999999999997</v>
      </c>
    </row>
    <row r="16" spans="1:13" ht="15" x14ac:dyDescent="0.25">
      <c r="A16" s="5" t="s">
        <v>361</v>
      </c>
      <c r="B16" s="6">
        <f ca="1">H$5/H$7</f>
        <v>0.58333333333333337</v>
      </c>
      <c r="D16" s="5" t="s">
        <v>364</v>
      </c>
      <c r="E16" s="7">
        <f ca="1">H$7*(($M$5/$M$7)-B16)*(($M$5/$M$7)-B16)</f>
        <v>6.4533333333333387E-2</v>
      </c>
      <c r="F16">
        <f t="shared" ca="1" si="1"/>
        <v>6.4533333333333387E-2</v>
      </c>
    </row>
    <row r="17" spans="1:6" ht="15" x14ac:dyDescent="0.25">
      <c r="A17" s="5" t="s">
        <v>199</v>
      </c>
      <c r="B17" s="6">
        <f ca="1">I$5/I$7</f>
        <v>0.5</v>
      </c>
      <c r="D17" s="5" t="s">
        <v>227</v>
      </c>
      <c r="E17" s="7">
        <f ca="1">I$7*(($M$5/$M$7)-B17)*(($M$5/$M$7)-B17)</f>
        <v>8.0000000000000145E-4</v>
      </c>
      <c r="F17">
        <f t="shared" ca="1" si="1"/>
        <v>8.0000000000000145E-4</v>
      </c>
    </row>
    <row r="18" spans="1:6" ht="15" x14ac:dyDescent="0.25">
      <c r="A18" s="5" t="s">
        <v>362</v>
      </c>
      <c r="B18" s="6">
        <f ca="1">J$5/J$7</f>
        <v>0.75</v>
      </c>
      <c r="D18" s="5" t="s">
        <v>363</v>
      </c>
      <c r="E18" s="7">
        <f ca="1">J$7*(($M$5/$M$7)-B18)*(($M$5/$M$7)-B18)</f>
        <v>0.92159999999999997</v>
      </c>
      <c r="F18">
        <f t="shared" ca="1" si="1"/>
        <v>0.92159999999999997</v>
      </c>
    </row>
    <row r="19" spans="1:6" ht="15" x14ac:dyDescent="0.25">
      <c r="A19" s="5" t="s">
        <v>200</v>
      </c>
      <c r="B19" s="6">
        <f ca="1">K$5/K$7</f>
        <v>1</v>
      </c>
      <c r="D19" s="5" t="s">
        <v>228</v>
      </c>
      <c r="E19" s="7">
        <f ca="1">K$7*(($M$5/$M$7)-B19)*(($M$5/$M$7)-B19)</f>
        <v>1.2005000000000001</v>
      </c>
      <c r="F19">
        <f t="shared" ca="1" si="1"/>
        <v>1.2005000000000001</v>
      </c>
    </row>
    <row r="20" spans="1:6" ht="15" x14ac:dyDescent="0.25">
      <c r="A20" s="5" t="s">
        <v>222</v>
      </c>
      <c r="B20" s="6">
        <f ca="1">L$5/L$7</f>
        <v>1</v>
      </c>
      <c r="D20" s="5" t="s">
        <v>210</v>
      </c>
      <c r="E20" s="7">
        <f ca="1">L$7*(($M$5/$M$7)-B20)*(($M$5/$M$7)-B20)</f>
        <v>0.96039999999999992</v>
      </c>
      <c r="F20">
        <f t="shared" ca="1" si="1"/>
        <v>0.96039999999999992</v>
      </c>
    </row>
    <row r="21" spans="1:6" x14ac:dyDescent="0.2">
      <c r="A21" s="5"/>
      <c r="D21" s="5" t="s">
        <v>211</v>
      </c>
      <c r="E21" s="7"/>
      <c r="F21" s="7">
        <f ca="1">SUM(F10:F20)</f>
        <v>7.3258974358974349</v>
      </c>
    </row>
    <row r="22" spans="1:6" x14ac:dyDescent="0.2">
      <c r="A22" s="5"/>
      <c r="D22" s="5"/>
    </row>
    <row r="23" spans="1:6" x14ac:dyDescent="0.2">
      <c r="A23" s="29" t="s">
        <v>209</v>
      </c>
      <c r="B23" s="30">
        <f ca="1">F21/M7</f>
        <v>7.3258974358974355E-2</v>
      </c>
    </row>
    <row r="24" spans="1:6" x14ac:dyDescent="0.2">
      <c r="A24" s="5"/>
    </row>
    <row r="25" spans="1:6" x14ac:dyDescent="0.2">
      <c r="A25" s="5"/>
    </row>
    <row r="26" spans="1:6" x14ac:dyDescent="0.2">
      <c r="A26" s="5"/>
    </row>
    <row r="27" spans="1:6" x14ac:dyDescent="0.2">
      <c r="A27" s="5"/>
    </row>
    <row r="35" spans="1:2" x14ac:dyDescent="0.2">
      <c r="A35" s="31"/>
      <c r="B35" s="32"/>
    </row>
  </sheetData>
  <mergeCells count="2">
    <mergeCell ref="A1:J1"/>
    <mergeCell ref="B3:H3"/>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M23"/>
  <sheetViews>
    <sheetView workbookViewId="0">
      <selection activeCell="B5" sqref="B5"/>
    </sheetView>
  </sheetViews>
  <sheetFormatPr defaultRowHeight="12.75" x14ac:dyDescent="0.2"/>
  <cols>
    <col min="1" max="1" width="12.140625" customWidth="1"/>
    <col min="2" max="2" width="15.42578125" bestFit="1" customWidth="1"/>
    <col min="10" max="10" width="9.140625" style="4"/>
  </cols>
  <sheetData>
    <row r="1" spans="1:13" x14ac:dyDescent="0.2">
      <c r="A1" s="90"/>
      <c r="B1" s="90"/>
      <c r="C1" s="90"/>
      <c r="D1" s="90"/>
      <c r="E1" s="90"/>
      <c r="F1" s="90"/>
      <c r="G1" s="90"/>
      <c r="H1" s="90"/>
      <c r="I1" s="90"/>
      <c r="J1" s="90"/>
    </row>
    <row r="2" spans="1:13" x14ac:dyDescent="0.2">
      <c r="A2" s="23"/>
      <c r="B2" s="23"/>
      <c r="C2" s="23"/>
      <c r="D2" s="23"/>
      <c r="E2" s="23"/>
      <c r="F2" s="23"/>
      <c r="G2" s="23"/>
      <c r="H2" s="23"/>
      <c r="I2" s="23"/>
      <c r="J2" s="23"/>
    </row>
    <row r="3" spans="1:13" ht="14.25" x14ac:dyDescent="0.25">
      <c r="B3" s="92" t="s">
        <v>196</v>
      </c>
      <c r="C3" s="92"/>
      <c r="D3" s="92"/>
      <c r="E3" s="92"/>
      <c r="F3" s="92"/>
      <c r="G3" s="92"/>
      <c r="H3" s="92"/>
    </row>
    <row r="4" spans="1:13" x14ac:dyDescent="0.2">
      <c r="A4" s="2" t="s">
        <v>197</v>
      </c>
      <c r="B4" s="16">
        <v>0</v>
      </c>
      <c r="C4" s="16">
        <v>0.1</v>
      </c>
      <c r="D4" s="16">
        <v>0.2</v>
      </c>
      <c r="E4" s="16">
        <v>0.3</v>
      </c>
      <c r="F4" s="16">
        <v>0.4</v>
      </c>
      <c r="G4" s="16">
        <v>0.5</v>
      </c>
      <c r="H4" s="16">
        <v>0.6</v>
      </c>
      <c r="I4" s="16">
        <v>0.7</v>
      </c>
      <c r="J4" s="16">
        <v>0.8</v>
      </c>
      <c r="K4" s="16">
        <v>0.9</v>
      </c>
      <c r="L4" s="16">
        <v>1</v>
      </c>
      <c r="M4" s="4" t="s">
        <v>127</v>
      </c>
    </row>
    <row r="5" spans="1:13" x14ac:dyDescent="0.2">
      <c r="A5" s="2" t="s">
        <v>128</v>
      </c>
      <c r="B5" s="3">
        <f ca="1">COUNTIFS(DataInColumns!$E$2:$E$101,"0",DataInColumns!$B$2:$B$101,"1")</f>
        <v>0</v>
      </c>
      <c r="C5" s="3">
        <f ca="1">COUNTIFS(DataInColumns!$E$2:$E$101,"0.1",DataInColumns!$B$2:$B$101,"1")</f>
        <v>0</v>
      </c>
      <c r="D5" s="3">
        <f ca="1">COUNTIFS(DataInColumns!$E$2:$E$101,"0.2",DataInColumns!$B$2:$B$101,"1")</f>
        <v>3</v>
      </c>
      <c r="E5" s="3">
        <f ca="1">COUNTIFS(DataInColumns!$E$2:$E$101,"0.3",DataInColumns!$B$2:$B$101,"1")</f>
        <v>7</v>
      </c>
      <c r="F5" s="3">
        <f ca="1">COUNTIFS(DataInColumns!$E$2:$E$101,"0.4",DataInColumns!$B$2:$B$101,"1")</f>
        <v>7</v>
      </c>
      <c r="G5" s="3">
        <f ca="1">COUNTIFS(DataInColumns!$E$2:$E$101,"0.5",DataInColumns!$B$2:$B$101,"1")</f>
        <v>2</v>
      </c>
      <c r="H5" s="3">
        <f ca="1">COUNTIFS(DataInColumns!$E$2:$E$101,"0.6",DataInColumns!$B$2:$B$101,"1")</f>
        <v>7</v>
      </c>
      <c r="I5" s="3">
        <f ca="1">COUNTIFS(DataInColumns!$E$2:$E$101,"0.7",DataInColumns!$B$2:$B$101,"1")</f>
        <v>4</v>
      </c>
      <c r="J5" s="3">
        <f ca="1">COUNTIFS(DataInColumns!$E$2:$E$101,"0.8",DataInColumns!$B$2:$B$101,"1")</f>
        <v>12</v>
      </c>
      <c r="K5" s="3">
        <f ca="1">COUNTIFS(DataInColumns!$E$2:$E$101,"0.9",DataInColumns!$B$2:$B$101,"1")</f>
        <v>5</v>
      </c>
      <c r="L5" s="3">
        <f ca="1">COUNTIFS(DataInColumns!$E$2:$E$101,"1",DataInColumns!$B$2:$B$101,"1")</f>
        <v>4</v>
      </c>
      <c r="M5" s="4">
        <f ca="1">SUM(B5:L5)</f>
        <v>51</v>
      </c>
    </row>
    <row r="6" spans="1:13" x14ac:dyDescent="0.2">
      <c r="A6" s="2" t="s">
        <v>129</v>
      </c>
      <c r="B6" s="3">
        <f ca="1">COUNTIFS(DataInColumns!$E$2:$E$101,"0",DataInColumns!$B$2:$B$101,"0")</f>
        <v>3</v>
      </c>
      <c r="C6" s="3">
        <f ca="1">COUNTIFS(DataInColumns!$E$2:$E$101,"0.1",DataInColumns!$B$2:$B$101,"0")</f>
        <v>8</v>
      </c>
      <c r="D6" s="3">
        <f ca="1">COUNTIFS(DataInColumns!$E$2:$E$101,"0.2",DataInColumns!$B$2:$B$101,"0")</f>
        <v>6</v>
      </c>
      <c r="E6" s="3">
        <f ca="1">COUNTIFS(DataInColumns!$E$2:$E$101,"0.3",DataInColumns!$B$2:$B$101,"0")</f>
        <v>5</v>
      </c>
      <c r="F6" s="3">
        <f ca="1">COUNTIFS(DataInColumns!$E$2:$E$101,"0.4",DataInColumns!$B$2:$B$101,"0")</f>
        <v>6</v>
      </c>
      <c r="G6" s="3">
        <f ca="1">COUNTIFS(DataInColumns!$E$2:$E$101,"0.5",DataInColumns!$B$2:$B$101,"0")</f>
        <v>8</v>
      </c>
      <c r="H6" s="3">
        <f ca="1">COUNTIFS(DataInColumns!$E$2:$E$101,"0.6",DataInColumns!$B$2:$B$101,"0")</f>
        <v>5</v>
      </c>
      <c r="I6" s="3">
        <f ca="1">COUNTIFS(DataInColumns!$E$2:$E$101,"0.7",DataInColumns!$B$2:$B$101,"0")</f>
        <v>4</v>
      </c>
      <c r="J6" s="3">
        <f ca="1">COUNTIFS(DataInColumns!$E$2:$E$101,"0.8",DataInColumns!$B$2:$B$101,"0")</f>
        <v>4</v>
      </c>
      <c r="K6" s="3">
        <f ca="1">COUNTIFS(DataInColumns!$E$2:$E$101,"0.9",DataInColumns!$B$2:$B$101,"0")</f>
        <v>0</v>
      </c>
      <c r="L6" s="3">
        <f ca="1">COUNTIFS(DataInColumns!$E$2:$E$101,"1",DataInColumns!$B$2:$B$101,"0")</f>
        <v>0</v>
      </c>
      <c r="M6" s="4">
        <f ca="1">SUM(B6:L6)</f>
        <v>49</v>
      </c>
    </row>
    <row r="7" spans="1:13" s="4" customFormat="1" x14ac:dyDescent="0.2">
      <c r="A7" s="4" t="s">
        <v>127</v>
      </c>
      <c r="B7" s="4">
        <f ca="1">SUM(B5:B6)</f>
        <v>3</v>
      </c>
      <c r="C7" s="4">
        <f t="shared" ref="C7:L7" ca="1" si="0">SUM(C5:C6)</f>
        <v>8</v>
      </c>
      <c r="D7" s="4">
        <f t="shared" ca="1" si="0"/>
        <v>9</v>
      </c>
      <c r="E7" s="4">
        <f t="shared" ca="1" si="0"/>
        <v>12</v>
      </c>
      <c r="F7" s="4">
        <f t="shared" ca="1" si="0"/>
        <v>13</v>
      </c>
      <c r="G7" s="4">
        <f t="shared" ca="1" si="0"/>
        <v>10</v>
      </c>
      <c r="H7" s="4">
        <f t="shared" ca="1" si="0"/>
        <v>12</v>
      </c>
      <c r="I7" s="4">
        <f t="shared" ca="1" si="0"/>
        <v>8</v>
      </c>
      <c r="J7" s="4">
        <f t="shared" ca="1" si="0"/>
        <v>16</v>
      </c>
      <c r="K7" s="4">
        <f t="shared" ca="1" si="0"/>
        <v>5</v>
      </c>
      <c r="L7" s="4">
        <f t="shared" ca="1" si="0"/>
        <v>4</v>
      </c>
      <c r="M7" s="4">
        <f ca="1">SUM(B7:L7)</f>
        <v>100</v>
      </c>
    </row>
    <row r="10" spans="1:13" ht="15" x14ac:dyDescent="0.25">
      <c r="A10" s="5" t="s">
        <v>193</v>
      </c>
      <c r="B10" s="6">
        <f ca="1">B$5/B$7</f>
        <v>0</v>
      </c>
      <c r="D10" s="5" t="s">
        <v>202</v>
      </c>
      <c r="E10" s="7">
        <f ca="1">B$7*(0-B10)*(0-B10)</f>
        <v>0</v>
      </c>
      <c r="F10">
        <f ca="1">IFERROR(E10,0)</f>
        <v>0</v>
      </c>
    </row>
    <row r="11" spans="1:13" ht="15" x14ac:dyDescent="0.25">
      <c r="A11" s="5" t="s">
        <v>194</v>
      </c>
      <c r="B11" s="6">
        <f ca="1">C$5/C$7</f>
        <v>0</v>
      </c>
      <c r="D11" s="5" t="s">
        <v>203</v>
      </c>
      <c r="E11" s="7">
        <f ca="1">C$7*(0.1-B11)*(0.1-B11)</f>
        <v>8.0000000000000016E-2</v>
      </c>
      <c r="F11">
        <f t="shared" ref="F11:F20" ca="1" si="1">IFERROR(E11,0)</f>
        <v>8.0000000000000016E-2</v>
      </c>
    </row>
    <row r="12" spans="1:13" ht="15" x14ac:dyDescent="0.25">
      <c r="A12" s="5" t="s">
        <v>359</v>
      </c>
      <c r="B12" s="6">
        <f ca="1">D$5/D$7</f>
        <v>0.33333333333333331</v>
      </c>
      <c r="D12" s="5" t="s">
        <v>367</v>
      </c>
      <c r="E12" s="7">
        <f ca="1">D$7*(0.2-B12)*(0.2-B12)</f>
        <v>0.15999999999999995</v>
      </c>
      <c r="F12">
        <f t="shared" ca="1" si="1"/>
        <v>0.48999999999999988</v>
      </c>
    </row>
    <row r="13" spans="1:13" ht="15" x14ac:dyDescent="0.25">
      <c r="A13" s="5" t="s">
        <v>195</v>
      </c>
      <c r="B13" s="6">
        <f ca="1">E$5/E$7</f>
        <v>0.58333333333333337</v>
      </c>
      <c r="D13" s="5" t="s">
        <v>204</v>
      </c>
      <c r="E13" s="7">
        <f ca="1">E$7*(0.3-B13)*(0.3-B13)</f>
        <v>0.9633333333333336</v>
      </c>
      <c r="F13">
        <f t="shared" ca="1" si="1"/>
        <v>0.9633333333333336</v>
      </c>
    </row>
    <row r="14" spans="1:13" ht="15" x14ac:dyDescent="0.25">
      <c r="A14" s="5" t="s">
        <v>360</v>
      </c>
      <c r="B14" s="6">
        <f ca="1">F$5/F$7</f>
        <v>0.53846153846153844</v>
      </c>
      <c r="D14" s="5" t="s">
        <v>368</v>
      </c>
      <c r="E14" s="7">
        <f ca="1">F$7*(0.4-B14)*(0.4-B14)</f>
        <v>0.24923076923076903</v>
      </c>
      <c r="F14">
        <f t="shared" ca="1" si="1"/>
        <v>0.73923076923076914</v>
      </c>
    </row>
    <row r="15" spans="1:13" ht="15" x14ac:dyDescent="0.25">
      <c r="A15" s="5" t="s">
        <v>198</v>
      </c>
      <c r="B15" s="6">
        <f ca="1">G$5/G$7</f>
        <v>0.2</v>
      </c>
      <c r="D15" s="5" t="s">
        <v>205</v>
      </c>
      <c r="E15" s="7">
        <f ca="1">G$7*(0.5-B15)*(0.5-B15)</f>
        <v>0.89999999999999991</v>
      </c>
      <c r="F15">
        <f t="shared" ca="1" si="1"/>
        <v>0.89999999999999991</v>
      </c>
    </row>
    <row r="16" spans="1:13" ht="15" x14ac:dyDescent="0.25">
      <c r="A16" s="5" t="s">
        <v>361</v>
      </c>
      <c r="B16" s="6">
        <f ca="1">H$5/H$7</f>
        <v>0.58333333333333337</v>
      </c>
      <c r="D16" s="5" t="s">
        <v>369</v>
      </c>
      <c r="E16" s="7">
        <f ca="1">H$7*(0.6-B16)*(0.6-B16)</f>
        <v>0.0033333333333333097</v>
      </c>
      <c r="F16">
        <f t="shared" ca="1" si="1"/>
        <v>8.3333333333333412E-2</v>
      </c>
    </row>
    <row r="17" spans="1:6" ht="15" x14ac:dyDescent="0.25">
      <c r="A17" s="5" t="s">
        <v>199</v>
      </c>
      <c r="B17" s="6">
        <f ca="1">I$5/I$7</f>
        <v>0.5</v>
      </c>
      <c r="D17" s="5" t="s">
        <v>206</v>
      </c>
      <c r="E17" s="7">
        <f ca="1">I$7*(0.7-B17)*(0.7-B17)</f>
        <v>0.31999999999999984</v>
      </c>
      <c r="F17">
        <f t="shared" ca="1" si="1"/>
        <v>0.31999999999999984</v>
      </c>
    </row>
    <row r="18" spans="1:6" ht="15" x14ac:dyDescent="0.25">
      <c r="A18" s="5" t="s">
        <v>362</v>
      </c>
      <c r="B18" s="6">
        <f ca="1">J$5/J$7</f>
        <v>0.75</v>
      </c>
      <c r="D18" s="5" t="s">
        <v>370</v>
      </c>
      <c r="E18" s="7">
        <f ca="1">J$7*(0.8-B18)*(0.8-B18)</f>
        <v>0.04000000000000007</v>
      </c>
      <c r="F18">
        <f t="shared" ca="1" si="1"/>
        <v>4.000000000000007E-2</v>
      </c>
    </row>
    <row r="19" spans="1:6" ht="15" x14ac:dyDescent="0.25">
      <c r="A19" s="5" t="s">
        <v>200</v>
      </c>
      <c r="B19" s="6">
        <f ca="1">K$5/K$7</f>
        <v>1</v>
      </c>
      <c r="D19" s="5" t="s">
        <v>207</v>
      </c>
      <c r="E19" s="7">
        <f ca="1">K$7*(0.9-B19)*(0.9-B19)</f>
        <v>4.9999999999999975E-2</v>
      </c>
      <c r="F19">
        <f t="shared" ca="1" si="1"/>
        <v>4.9999999999999975E-2</v>
      </c>
    </row>
    <row r="20" spans="1:6" ht="15" x14ac:dyDescent="0.25">
      <c r="A20" s="5" t="s">
        <v>201</v>
      </c>
      <c r="B20" s="6">
        <f ca="1">L$5/L$7</f>
        <v>1</v>
      </c>
      <c r="D20" s="5" t="s">
        <v>208</v>
      </c>
      <c r="E20" s="7">
        <f ca="1">L$7*(1-B20)*(1-B20)</f>
        <v>0</v>
      </c>
      <c r="F20">
        <f t="shared" ca="1" si="1"/>
        <v>0</v>
      </c>
    </row>
    <row r="21" spans="1:6" x14ac:dyDescent="0.2">
      <c r="D21" s="5" t="s">
        <v>131</v>
      </c>
      <c r="E21" s="7"/>
      <c r="F21" s="7">
        <f ca="1">SUM(F10:F20)</f>
        <v>3.6658974358974357</v>
      </c>
    </row>
    <row r="23" spans="1:6" x14ac:dyDescent="0.2">
      <c r="A23" s="29" t="s">
        <v>130</v>
      </c>
      <c r="B23" s="30">
        <f ca="1">F21/M7</f>
        <v>3.6658974358974354E-2</v>
      </c>
    </row>
  </sheetData>
  <mergeCells count="2">
    <mergeCell ref="B3:H3"/>
    <mergeCell ref="A1:J1"/>
  </mergeCells>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M51"/>
  <sheetViews>
    <sheetView workbookViewId="0">
      <selection activeCell="O19" sqref="O19"/>
    </sheetView>
  </sheetViews>
  <sheetFormatPr defaultRowHeight="12.75" x14ac:dyDescent="0.2"/>
  <cols>
    <col min="1" max="1" width="4.28515625" customWidth="1"/>
    <col min="2" max="2" width="9.7109375" customWidth="1"/>
    <col min="9" max="9" width="9.5703125" bestFit="1" customWidth="1"/>
    <col min="10" max="10" width="9.5703125" customWidth="1"/>
    <col min="13" max="13" width="10.42578125" customWidth="1"/>
  </cols>
  <sheetData>
    <row r="1" spans="1:13" x14ac:dyDescent="0.2">
      <c r="A1" s="90" t="str">
        <f>MonkeyPaste!$K$6</f>
        <v>Market Price (6 mo prior)</v>
      </c>
      <c r="B1" s="90"/>
      <c r="C1" s="90"/>
      <c r="D1" s="90"/>
      <c r="E1" s="90"/>
      <c r="F1" s="90"/>
      <c r="G1" s="90"/>
      <c r="H1" s="90"/>
      <c r="I1" s="90"/>
    </row>
    <row r="2" spans="1:13" x14ac:dyDescent="0.2">
      <c r="B2">
        <f>MonkeyPaste!$DQ$6</f>
        <v>0</v>
      </c>
    </row>
    <row r="3" spans="1:13" x14ac:dyDescent="0.2">
      <c r="B3" s="65" t="s">
        <v>191</v>
      </c>
      <c r="C3" s="66">
        <f ca="1">'Mean PS'!D3</f>
        <v>0.20172400000000007</v>
      </c>
      <c r="D3" s="65" t="s">
        <v>233</v>
      </c>
      <c r="E3" s="67">
        <f ca="1">Bias!D6</f>
        <v>-1.0600000000000054E-2</v>
      </c>
      <c r="F3" s="65" t="s">
        <v>236</v>
      </c>
      <c r="G3" s="67">
        <f ca="1">Slope!F6</f>
        <v>0.23651860744297737</v>
      </c>
      <c r="H3" s="65" t="s">
        <v>251</v>
      </c>
      <c r="I3" s="66">
        <f ca="1">Scatter!C9</f>
        <v>5.5943971188475355E-2</v>
      </c>
      <c r="J3" s="35"/>
      <c r="K3" s="59" t="s">
        <v>254</v>
      </c>
    </row>
    <row r="4" spans="1:13" x14ac:dyDescent="0.2">
      <c r="L4" s="20" t="s">
        <v>191</v>
      </c>
      <c r="M4" s="33">
        <f ca="1">'Mean PS'!D3</f>
        <v>0.20172400000000007</v>
      </c>
    </row>
    <row r="5" spans="1:13" x14ac:dyDescent="0.2">
      <c r="L5" s="20" t="s">
        <v>252</v>
      </c>
      <c r="M5" s="33">
        <f ca="1">'Murphy Decomp'!L15</f>
        <v>0.21330000000000002</v>
      </c>
    </row>
    <row r="6" spans="1:13" x14ac:dyDescent="0.2">
      <c r="L6" s="20" t="s">
        <v>253</v>
      </c>
      <c r="M6" s="33">
        <f ca="1">('Var(d)'!D7)+(Bias!D6*Bias!D6)+(('Var(d)'!D7)*(Slope!F6)*(Slope!F6-2))+Scatter!C9</f>
        <v>0.20172399999999988</v>
      </c>
    </row>
    <row r="9" spans="1:13" x14ac:dyDescent="0.2">
      <c r="K9" s="59" t="s">
        <v>256</v>
      </c>
    </row>
    <row r="10" spans="1:13" x14ac:dyDescent="0.2">
      <c r="K10">
        <f>Bias!D4</f>
        <v>0.51</v>
      </c>
      <c r="L10">
        <v>0</v>
      </c>
    </row>
    <row r="11" spans="1:13" x14ac:dyDescent="0.2">
      <c r="K11">
        <f>Bias!D4</f>
        <v>0.51</v>
      </c>
      <c r="L11">
        <v>1</v>
      </c>
      <c r="M11" s="33"/>
    </row>
    <row r="13" spans="1:13" x14ac:dyDescent="0.2">
      <c r="K13" s="72" t="s">
        <v>261</v>
      </c>
    </row>
    <row r="14" spans="1:13" x14ac:dyDescent="0.2">
      <c r="K14">
        <v>0</v>
      </c>
      <c r="L14">
        <f ca="1">Bias!D3</f>
        <v>0.49939999999999996</v>
      </c>
    </row>
    <row r="15" spans="1:13" x14ac:dyDescent="0.2">
      <c r="K15">
        <v>1</v>
      </c>
      <c r="L15">
        <f ca="1">Bias!D3</f>
        <v>0.49939999999999996</v>
      </c>
    </row>
    <row r="17" spans="11:12" x14ac:dyDescent="0.2">
      <c r="K17" s="59" t="s">
        <v>257</v>
      </c>
    </row>
    <row r="18" spans="11:12" x14ac:dyDescent="0.2">
      <c r="K18">
        <v>0</v>
      </c>
      <c r="L18">
        <v>0</v>
      </c>
    </row>
    <row r="19" spans="11:12" x14ac:dyDescent="0.2">
      <c r="K19">
        <v>1</v>
      </c>
      <c r="L19">
        <v>1</v>
      </c>
    </row>
    <row r="21" spans="11:12" x14ac:dyDescent="0.2">
      <c r="K21" s="59" t="s">
        <v>260</v>
      </c>
    </row>
    <row r="22" spans="11:12" x14ac:dyDescent="0.2">
      <c r="K22">
        <v>0</v>
      </c>
      <c r="L22" s="71">
        <f ca="1">Slope!F4</f>
        <v>0.37877551020408151</v>
      </c>
    </row>
    <row r="23" spans="11:12" x14ac:dyDescent="0.2">
      <c r="K23">
        <v>1</v>
      </c>
      <c r="L23" s="71">
        <f ca="1">Slope!F3</f>
        <v>0.61529411764705888</v>
      </c>
    </row>
    <row r="25" spans="11:12" ht="14.25" x14ac:dyDescent="0.25">
      <c r="K25" s="59" t="s">
        <v>262</v>
      </c>
    </row>
    <row r="26" spans="11:12" x14ac:dyDescent="0.2">
      <c r="K26">
        <v>0</v>
      </c>
      <c r="L26" s="71">
        <f ca="1">L22</f>
        <v>0.37877551020408151</v>
      </c>
    </row>
    <row r="28" spans="11:12" ht="14.25" x14ac:dyDescent="0.25">
      <c r="K28" s="59" t="s">
        <v>263</v>
      </c>
    </row>
    <row r="29" spans="11:12" x14ac:dyDescent="0.2">
      <c r="K29">
        <v>1</v>
      </c>
      <c r="L29" s="71">
        <f ca="1">L23</f>
        <v>0.61529411764705888</v>
      </c>
    </row>
    <row r="38" spans="2:9" ht="78.75" customHeight="1" x14ac:dyDescent="0.2">
      <c r="B38" s="94" t="s">
        <v>266</v>
      </c>
      <c r="C38" s="94"/>
      <c r="D38" s="94"/>
      <c r="E38" s="94"/>
      <c r="F38" s="94"/>
      <c r="G38" s="94"/>
      <c r="H38" s="94"/>
      <c r="I38" s="94"/>
    </row>
    <row r="39" spans="2:9" ht="42.75" customHeight="1" x14ac:dyDescent="0.2">
      <c r="C39" s="75"/>
      <c r="D39" s="76" t="s">
        <v>265</v>
      </c>
      <c r="E39" s="76">
        <f ca="1">'Mean PS'!D3</f>
        <v>0.20172400000000007</v>
      </c>
      <c r="F39" s="75"/>
      <c r="G39" s="75"/>
      <c r="H39" s="75"/>
      <c r="I39" s="75"/>
    </row>
    <row r="40" spans="2:9" ht="64.5" customHeight="1" x14ac:dyDescent="0.2">
      <c r="C40" s="75"/>
      <c r="D40" s="76"/>
      <c r="E40" s="76"/>
      <c r="F40" s="75"/>
      <c r="G40" s="75"/>
      <c r="H40" s="75"/>
      <c r="I40" s="75"/>
    </row>
    <row r="41" spans="2:9" ht="20.25" customHeight="1" x14ac:dyDescent="0.2">
      <c r="B41" s="90" t="str">
        <f>A1</f>
        <v>Market Price (6 mo prior)</v>
      </c>
      <c r="C41" s="90"/>
      <c r="D41" s="90"/>
      <c r="E41" s="90"/>
      <c r="F41" s="90"/>
      <c r="G41" s="90"/>
      <c r="H41" s="90"/>
      <c r="I41" s="90"/>
    </row>
    <row r="42" spans="2:9" x14ac:dyDescent="0.2">
      <c r="B42">
        <f>MonkeyPaste!$DQ$6</f>
        <v>0</v>
      </c>
      <c r="C42" s="69"/>
      <c r="D42" s="69"/>
      <c r="E42" s="69"/>
      <c r="F42" s="69"/>
      <c r="G42" s="69"/>
      <c r="H42" s="69"/>
      <c r="I42" s="69"/>
    </row>
    <row r="43" spans="2:9" ht="128.25" customHeight="1" x14ac:dyDescent="0.2">
      <c r="B43" s="91" t="s">
        <v>267</v>
      </c>
      <c r="C43" s="91"/>
      <c r="D43" s="91"/>
      <c r="E43" s="91"/>
      <c r="F43" s="91"/>
      <c r="G43" s="91"/>
      <c r="H43" s="91"/>
      <c r="I43" s="91"/>
    </row>
    <row r="44" spans="2:9" ht="14.25" customHeight="1" x14ac:dyDescent="0.2">
      <c r="C44" s="74"/>
      <c r="D44" s="76" t="s">
        <v>265</v>
      </c>
      <c r="E44" s="73">
        <f ca="1">Bias!D3</f>
        <v>0.49939999999999996</v>
      </c>
      <c r="F44" s="73" t="s">
        <v>264</v>
      </c>
      <c r="G44" s="73">
        <f>Bias!D4</f>
        <v>0.51</v>
      </c>
      <c r="H44" s="73" t="s">
        <v>265</v>
      </c>
      <c r="I44" s="68">
        <f ca="1">Bias!D6</f>
        <v>-1.0600000000000054E-2</v>
      </c>
    </row>
    <row r="46" spans="2:9" ht="93.75" customHeight="1" x14ac:dyDescent="0.2">
      <c r="B46" s="91" t="s">
        <v>270</v>
      </c>
      <c r="C46" s="91"/>
      <c r="D46" s="91"/>
      <c r="E46" s="91"/>
      <c r="F46" s="91"/>
      <c r="G46" s="91"/>
      <c r="H46" s="91"/>
      <c r="I46" s="91"/>
    </row>
    <row r="47" spans="2:9" x14ac:dyDescent="0.2">
      <c r="D47" s="77" t="s">
        <v>265</v>
      </c>
      <c r="E47" s="78">
        <f ca="1">Slope!F3</f>
        <v>0.61529411764705888</v>
      </c>
      <c r="F47" s="77" t="s">
        <v>264</v>
      </c>
      <c r="G47" s="79">
        <f ca="1">Slope!F4</f>
        <v>0.37877551020408151</v>
      </c>
      <c r="H47" s="77" t="s">
        <v>265</v>
      </c>
      <c r="I47" s="80">
        <f ca="1">Slope!F6</f>
        <v>0.23651860744297737</v>
      </c>
    </row>
    <row r="49" spans="2:9" ht="78.75" customHeight="1" x14ac:dyDescent="0.2">
      <c r="B49" s="93" t="s">
        <v>268</v>
      </c>
      <c r="C49" s="93"/>
      <c r="D49" s="93"/>
      <c r="E49" s="93"/>
      <c r="F49" s="93"/>
      <c r="G49" s="93"/>
      <c r="H49" s="93"/>
      <c r="I49" s="93"/>
    </row>
    <row r="50" spans="2:9" x14ac:dyDescent="0.2">
      <c r="G50" s="70"/>
    </row>
    <row r="51" spans="2:9" x14ac:dyDescent="0.2">
      <c r="E51" s="20" t="s">
        <v>265</v>
      </c>
      <c r="F51">
        <f ca="1">Scatter!C9</f>
        <v>5.5943971188475355E-2</v>
      </c>
    </row>
  </sheetData>
  <mergeCells count="6">
    <mergeCell ref="B49:I49"/>
    <mergeCell ref="A1:I1"/>
    <mergeCell ref="B38:I38"/>
    <mergeCell ref="B46:I46"/>
    <mergeCell ref="B43:I43"/>
    <mergeCell ref="B41:I41"/>
  </mergeCells>
  <pageMargins left="0.7" right="0.7" top="0.75" bottom="0.75" header="0.3" footer="0.3"/>
  <pageSetup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K32"/>
  <sheetViews>
    <sheetView workbookViewId="0">
      <selection activeCell="E11" sqref="E11"/>
    </sheetView>
  </sheetViews>
  <sheetFormatPr defaultRowHeight="12.75" x14ac:dyDescent="0.2"/>
  <cols>
    <col min="2" max="2" width="12.140625" customWidth="1"/>
    <col min="3" max="3" width="15.42578125" bestFit="1" customWidth="1"/>
    <col min="11" max="11" width="9.140625" style="4"/>
  </cols>
  <sheetData>
    <row r="1" spans="1:11" x14ac:dyDescent="0.2">
      <c r="A1" s="90" t="s">
        <v>230</v>
      </c>
      <c r="B1" s="90"/>
      <c r="C1" s="90"/>
      <c r="D1" s="90"/>
      <c r="E1" s="90"/>
      <c r="F1" s="90"/>
      <c r="G1" s="90"/>
      <c r="H1" s="90"/>
      <c r="I1" s="90"/>
      <c r="J1" s="90"/>
      <c r="K1" s="90"/>
    </row>
    <row r="2" spans="1:11" x14ac:dyDescent="0.2">
      <c r="A2" s="23"/>
      <c r="B2" s="23"/>
      <c r="C2" s="23"/>
      <c r="D2" s="23"/>
      <c r="E2" s="23"/>
      <c r="F2" s="23"/>
      <c r="G2" s="23"/>
      <c r="H2" s="23"/>
      <c r="I2" s="23"/>
      <c r="J2" s="23"/>
      <c r="K2" s="23"/>
    </row>
    <row r="3" spans="1:11" x14ac:dyDescent="0.2">
      <c r="C3" s="20" t="s">
        <v>232</v>
      </c>
      <c r="D3" s="15">
        <f ca="1">AVERAGE(DataInColumns!C2:C101)</f>
        <v>0.49939999999999996</v>
      </c>
      <c r="E3" s="43"/>
      <c r="F3" s="43"/>
      <c r="G3" s="43"/>
      <c r="H3" s="43"/>
      <c r="I3" s="43"/>
    </row>
    <row r="4" spans="1:11" x14ac:dyDescent="0.2">
      <c r="B4" s="11"/>
      <c r="C4" s="44" t="s">
        <v>231</v>
      </c>
      <c r="D4" s="45">
        <f>AVERAGE(DataInColumns!B2:B101)</f>
        <v>0.51</v>
      </c>
      <c r="E4" s="42"/>
      <c r="F4" s="42"/>
      <c r="G4" s="42"/>
      <c r="H4" s="42"/>
      <c r="I4" s="42"/>
      <c r="J4" s="8"/>
    </row>
    <row r="5" spans="1:11" x14ac:dyDescent="0.2">
      <c r="B5" s="11"/>
      <c r="C5" s="8"/>
      <c r="D5" s="8"/>
      <c r="E5" s="8"/>
      <c r="F5" s="8"/>
      <c r="G5" s="8"/>
      <c r="H5" s="8"/>
      <c r="I5" s="8"/>
      <c r="J5" s="8"/>
    </row>
    <row r="6" spans="1:11" x14ac:dyDescent="0.2">
      <c r="B6" s="11"/>
      <c r="C6" s="50" t="s">
        <v>233</v>
      </c>
      <c r="D6" s="51">
        <f ca="1">D3-D4</f>
        <v>-1.0600000000000054E-2</v>
      </c>
      <c r="E6" s="8"/>
      <c r="F6" s="8"/>
      <c r="G6" s="8"/>
      <c r="H6" s="8"/>
      <c r="I6" s="8"/>
      <c r="J6" s="8"/>
    </row>
    <row r="7" spans="1:11" x14ac:dyDescent="0.2">
      <c r="B7" s="8"/>
      <c r="C7" s="8"/>
      <c r="D7" s="8"/>
      <c r="E7" s="8"/>
      <c r="F7" s="8"/>
      <c r="G7" s="8"/>
      <c r="H7" s="8"/>
      <c r="I7" s="8"/>
      <c r="J7" s="8"/>
    </row>
    <row r="8" spans="1:11" s="4" customFormat="1" x14ac:dyDescent="0.2">
      <c r="B8" s="10"/>
      <c r="C8" s="10"/>
      <c r="D8" s="10"/>
      <c r="E8" s="10"/>
      <c r="F8" s="10"/>
      <c r="G8" s="10"/>
      <c r="H8" s="10"/>
      <c r="I8" s="10"/>
      <c r="J8" s="10"/>
    </row>
    <row r="9" spans="1:11" x14ac:dyDescent="0.2">
      <c r="B9" s="8"/>
      <c r="C9" s="8"/>
      <c r="D9" s="8"/>
      <c r="E9" s="8"/>
      <c r="F9" s="8"/>
      <c r="G9" s="8"/>
      <c r="H9" s="8"/>
      <c r="I9" s="8"/>
      <c r="J9" s="8"/>
    </row>
    <row r="10" spans="1:11" x14ac:dyDescent="0.2">
      <c r="B10" s="8"/>
      <c r="C10" s="8"/>
      <c r="D10" s="8"/>
      <c r="E10" s="8"/>
      <c r="F10" s="8"/>
      <c r="G10" s="8"/>
      <c r="H10" s="8"/>
      <c r="I10" s="8"/>
      <c r="J10" s="8"/>
    </row>
    <row r="11" spans="1:11" x14ac:dyDescent="0.2">
      <c r="B11" s="5"/>
      <c r="C11" s="6"/>
      <c r="E11" s="5"/>
      <c r="F11" s="7"/>
    </row>
    <row r="12" spans="1:11" x14ac:dyDescent="0.2">
      <c r="B12" s="5"/>
      <c r="C12" s="6"/>
      <c r="E12" s="5"/>
      <c r="F12" s="7"/>
    </row>
    <row r="13" spans="1:11" x14ac:dyDescent="0.2">
      <c r="B13" s="5"/>
      <c r="C13" s="6"/>
      <c r="E13" s="5"/>
      <c r="F13" s="7"/>
    </row>
    <row r="14" spans="1:11" x14ac:dyDescent="0.2">
      <c r="B14" s="5"/>
      <c r="C14" s="6"/>
      <c r="E14" s="5"/>
      <c r="F14" s="7"/>
    </row>
    <row r="15" spans="1:11" x14ac:dyDescent="0.2">
      <c r="B15" s="5"/>
      <c r="C15" s="6"/>
      <c r="E15" s="5"/>
      <c r="F15" s="7"/>
    </row>
    <row r="16" spans="1:11" x14ac:dyDescent="0.2">
      <c r="B16" s="5"/>
      <c r="C16" s="6"/>
      <c r="E16" s="5"/>
      <c r="F16" s="7"/>
    </row>
    <row r="17" spans="1:7" x14ac:dyDescent="0.2">
      <c r="B17" s="5"/>
      <c r="C17" s="6"/>
      <c r="E17" s="5"/>
      <c r="F17" s="7"/>
    </row>
    <row r="18" spans="1:7" x14ac:dyDescent="0.2">
      <c r="B18" s="5"/>
      <c r="E18" s="5"/>
      <c r="F18" s="7"/>
      <c r="G18" s="7"/>
    </row>
    <row r="19" spans="1:7" x14ac:dyDescent="0.2">
      <c r="A19" s="37"/>
      <c r="B19" s="41"/>
      <c r="C19" s="37"/>
      <c r="D19" s="37"/>
      <c r="E19" s="41"/>
    </row>
    <row r="20" spans="1:7" x14ac:dyDescent="0.2">
      <c r="A20" s="37"/>
      <c r="B20" s="31"/>
      <c r="C20" s="32"/>
      <c r="D20" s="37"/>
      <c r="E20" s="37"/>
    </row>
    <row r="21" spans="1:7" x14ac:dyDescent="0.2">
      <c r="A21" s="37"/>
      <c r="B21" s="41"/>
      <c r="C21" s="37"/>
      <c r="D21" s="37"/>
      <c r="E21" s="37"/>
    </row>
    <row r="22" spans="1:7" x14ac:dyDescent="0.2">
      <c r="B22" s="5"/>
    </row>
    <row r="23" spans="1:7" x14ac:dyDescent="0.2">
      <c r="B23" s="5"/>
    </row>
    <row r="24" spans="1:7" x14ac:dyDescent="0.2">
      <c r="B24" s="5"/>
    </row>
    <row r="32" spans="1:7" x14ac:dyDescent="0.2">
      <c r="B32" s="31"/>
      <c r="C32" s="32"/>
    </row>
  </sheetData>
  <mergeCells count="1">
    <mergeCell ref="A1:K1"/>
  </mergeCell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K110"/>
  <sheetViews>
    <sheetView workbookViewId="0">
      <selection activeCell="F6" sqref="F6"/>
    </sheetView>
  </sheetViews>
  <sheetFormatPr defaultRowHeight="12.75" x14ac:dyDescent="0.2"/>
  <cols>
    <col min="2" max="2" width="8.140625" customWidth="1"/>
    <col min="3" max="3" width="15.42578125" bestFit="1" customWidth="1"/>
    <col min="11" max="11" width="9.140625" style="4"/>
  </cols>
  <sheetData>
    <row r="1" spans="1:11" x14ac:dyDescent="0.2">
      <c r="A1" s="90" t="s">
        <v>234</v>
      </c>
      <c r="B1" s="90"/>
      <c r="C1" s="90"/>
      <c r="D1" s="90"/>
      <c r="E1" s="90"/>
      <c r="F1" s="90"/>
      <c r="G1" s="90"/>
      <c r="H1" s="90"/>
      <c r="I1" s="90"/>
      <c r="J1" s="90"/>
      <c r="K1" s="90"/>
    </row>
    <row r="2" spans="1:11" x14ac:dyDescent="0.2">
      <c r="A2" s="23"/>
      <c r="B2" s="23"/>
      <c r="C2" s="23"/>
      <c r="D2" s="23"/>
      <c r="E2" s="23"/>
      <c r="F2" s="23"/>
      <c r="G2" s="23"/>
      <c r="H2" s="23"/>
      <c r="I2" s="23"/>
      <c r="J2" s="23"/>
      <c r="K2" s="23"/>
    </row>
    <row r="3" spans="1:11" ht="14.25" x14ac:dyDescent="0.25">
      <c r="E3" s="20" t="s">
        <v>237</v>
      </c>
      <c r="F3" s="45">
        <f ca="1">D110/B110</f>
        <v>0.61529411764705888</v>
      </c>
      <c r="G3" s="43"/>
      <c r="H3" s="43"/>
      <c r="I3" s="43"/>
    </row>
    <row r="4" spans="1:11" ht="14.25" x14ac:dyDescent="0.25">
      <c r="B4" s="11"/>
      <c r="C4" s="44"/>
      <c r="D4" s="45"/>
      <c r="E4" s="20" t="s">
        <v>238</v>
      </c>
      <c r="F4" s="45">
        <f ca="1">E110/(DI!M7-B110)</f>
        <v>0.37877551020408151</v>
      </c>
      <c r="G4" s="42"/>
      <c r="H4" s="42"/>
      <c r="I4" s="42"/>
      <c r="J4" s="8"/>
    </row>
    <row r="5" spans="1:11" x14ac:dyDescent="0.2">
      <c r="B5" s="11"/>
      <c r="C5" s="8"/>
      <c r="D5" s="8"/>
      <c r="E5" s="8"/>
      <c r="F5" s="8"/>
      <c r="G5" s="8"/>
      <c r="H5" s="8"/>
      <c r="I5" s="8"/>
      <c r="J5" s="8"/>
    </row>
    <row r="6" spans="1:11" x14ac:dyDescent="0.2">
      <c r="B6" s="11"/>
      <c r="E6" s="50" t="s">
        <v>236</v>
      </c>
      <c r="F6" s="51">
        <f ca="1">F3-F4</f>
        <v>0.23651860744297737</v>
      </c>
      <c r="G6" s="8"/>
      <c r="H6" s="8"/>
      <c r="I6" s="8"/>
      <c r="J6" s="8"/>
    </row>
    <row r="7" spans="1:11" x14ac:dyDescent="0.2">
      <c r="B7" s="8"/>
      <c r="C7" s="8"/>
      <c r="D7" s="8"/>
      <c r="E7" s="8"/>
      <c r="F7" s="8"/>
      <c r="G7" s="8"/>
      <c r="H7" s="8"/>
      <c r="I7" s="8"/>
      <c r="J7" s="8"/>
    </row>
    <row r="8" spans="1:11" s="4" customFormat="1" ht="33" customHeight="1" x14ac:dyDescent="0.2">
      <c r="A8" s="4" t="str">
        <f>DataInColumns!A1</f>
        <v>Question</v>
      </c>
      <c r="B8" s="4" t="str">
        <f>DataInColumns!B1</f>
        <v>F/T</v>
      </c>
      <c r="C8" s="4" t="str">
        <f>DataInColumns!C1</f>
        <v>Est.</v>
      </c>
      <c r="D8" s="55" t="s">
        <v>239</v>
      </c>
      <c r="E8" s="55" t="s">
        <v>240</v>
      </c>
      <c r="F8" s="10"/>
      <c r="G8" s="10"/>
      <c r="H8" s="10"/>
      <c r="I8" s="10"/>
      <c r="J8" s="10"/>
    </row>
    <row r="9" spans="1:11" x14ac:dyDescent="0.2">
      <c r="A9" s="2" t="str">
        <f>DataInColumns!A2</f>
        <v>The Russian Ensign from Star Trek was named Nureyev.</v>
      </c>
      <c r="B9" s="2">
        <f>DataInColumns!B2</f>
        <v>0</v>
      </c>
      <c r="C9" s="2">
        <f ca="1">DataInColumns!C2</f>
        <v>0.53</v>
      </c>
      <c r="D9" s="8">
        <f>IF(B9=1,C9,0)</f>
        <v>0</v>
      </c>
      <c r="E9" s="8">
        <f ca="1">IF(B9=0,C9,0)</f>
        <v>0.53</v>
      </c>
      <c r="F9" s="8"/>
      <c r="G9" s="8"/>
      <c r="H9" s="8"/>
      <c r="I9" s="8"/>
      <c r="J9" s="8"/>
    </row>
    <row r="10" spans="1:11" x14ac:dyDescent="0.2">
      <c r="A10" s="2" t="str">
        <f>DataInColumns!A3</f>
        <v>The polar bear diet consists primarily of seals.</v>
      </c>
      <c r="B10" s="2">
        <f>DataInColumns!B3</f>
        <v>0</v>
      </c>
      <c r="C10" s="2">
        <f ca="1">DataInColumns!C3</f>
        <v>0.17</v>
      </c>
      <c r="D10" s="8">
        <f t="shared" ref="D10:D73" si="0">IF(B10=1,C10,0)</f>
        <v>0</v>
      </c>
      <c r="E10" s="8">
        <f t="shared" ref="E10:E73" ca="1" si="1">IF(B10=0,C10,0)</f>
        <v>0.17</v>
      </c>
      <c r="F10" s="8"/>
      <c r="G10" s="8"/>
      <c r="H10" s="8"/>
      <c r="I10" s="8"/>
      <c r="J10" s="8"/>
    </row>
    <row r="11" spans="1:11" x14ac:dyDescent="0.2">
      <c r="A11" s="2" t="str">
        <f>DataInColumns!A4</f>
        <v>According to folklore, the sandman helps children grow.</v>
      </c>
      <c r="B11" s="2">
        <f>DataInColumns!B4</f>
        <v>0</v>
      </c>
      <c r="C11" s="2">
        <f ca="1">DataInColumns!C4</f>
        <v>0.53</v>
      </c>
      <c r="D11" s="8">
        <f t="shared" si="0"/>
        <v>0</v>
      </c>
      <c r="E11" s="8">
        <f t="shared" ca="1" si="1"/>
        <v>0.53</v>
      </c>
      <c r="F11" s="7"/>
    </row>
    <row r="12" spans="1:11" x14ac:dyDescent="0.2">
      <c r="A12" s="2" t="str">
        <f>DataInColumns!A5</f>
        <v>The Concorde was developed in the French city of Toulouse.</v>
      </c>
      <c r="B12" s="2">
        <f>DataInColumns!B5</f>
        <v>0</v>
      </c>
      <c r="C12" s="2">
        <f ca="1">DataInColumns!C5</f>
        <v>0.13</v>
      </c>
      <c r="D12" s="8">
        <f t="shared" si="0"/>
        <v>0</v>
      </c>
      <c r="E12" s="8">
        <f t="shared" ca="1" si="1"/>
        <v>0.13</v>
      </c>
      <c r="F12" s="7"/>
    </row>
    <row r="13" spans="1:11" x14ac:dyDescent="0.2">
      <c r="A13" s="2" t="str">
        <f>DataInColumns!A6</f>
        <v>In the Peanuts cartoon, the character Schroeder plays the piano.</v>
      </c>
      <c r="B13" s="2">
        <f>DataInColumns!B6</f>
        <v>0</v>
      </c>
      <c r="C13" s="2">
        <f ca="1">DataInColumns!C6</f>
        <v>0.30000000000000004</v>
      </c>
      <c r="D13" s="8">
        <f t="shared" si="0"/>
        <v>0</v>
      </c>
      <c r="E13" s="8">
        <f t="shared" ca="1" si="1"/>
        <v>0.30000000000000004</v>
      </c>
      <c r="F13" s="7"/>
    </row>
    <row r="14" spans="1:11" x14ac:dyDescent="0.2">
      <c r="A14" s="2" t="str">
        <f>DataInColumns!A7</f>
        <v>The color brown is not found in a rainbow.</v>
      </c>
      <c r="B14" s="2">
        <f>DataInColumns!B7</f>
        <v>0</v>
      </c>
      <c r="C14" s="2">
        <f ca="1">DataInColumns!C7</f>
        <v>0.43000000000000005</v>
      </c>
      <c r="D14" s="8">
        <f t="shared" si="0"/>
        <v>0</v>
      </c>
      <c r="E14" s="8">
        <f t="shared" ca="1" si="1"/>
        <v>0.43000000000000005</v>
      </c>
      <c r="F14" s="7"/>
    </row>
    <row r="15" spans="1:11" x14ac:dyDescent="0.2">
      <c r="A15" s="2" t="str">
        <f>DataInColumns!A8</f>
        <v>The World trade Center was designed by architect Mirioru Yamazuki.</v>
      </c>
      <c r="B15" s="2">
        <f>DataInColumns!B8</f>
        <v>0</v>
      </c>
      <c r="C15" s="2">
        <f ca="1">DataInColumns!C8</f>
        <v>0.55000000000000004</v>
      </c>
      <c r="D15" s="8">
        <f t="shared" si="0"/>
        <v>0</v>
      </c>
      <c r="E15" s="8">
        <f t="shared" ca="1" si="1"/>
        <v>0.55000000000000004</v>
      </c>
      <c r="F15" s="7"/>
    </row>
    <row r="16" spans="1:11" x14ac:dyDescent="0.2">
      <c r="A16" s="2" t="str">
        <f>DataInColumns!A9</f>
        <v>The term "gambit" is associated with pitching horseshoes.</v>
      </c>
      <c r="B16" s="2">
        <f>DataInColumns!B9</f>
        <v>0</v>
      </c>
      <c r="C16" s="2">
        <f ca="1">DataInColumns!C9</f>
        <v>0.38</v>
      </c>
      <c r="D16" s="8">
        <f t="shared" si="0"/>
        <v>0</v>
      </c>
      <c r="E16" s="8">
        <f t="shared" ca="1" si="1"/>
        <v>0.38</v>
      </c>
      <c r="F16" s="7"/>
    </row>
    <row r="17" spans="1:7" x14ac:dyDescent="0.2">
      <c r="A17" s="2" t="str">
        <f>DataInColumns!A10</f>
        <v>The term "in toto" means on your toes.</v>
      </c>
      <c r="B17" s="2">
        <f>DataInColumns!B10</f>
        <v>0</v>
      </c>
      <c r="C17" s="2">
        <f ca="1">DataInColumns!C10</f>
        <v>8.0000000000000016E-2</v>
      </c>
      <c r="D17" s="8">
        <f t="shared" si="0"/>
        <v>0</v>
      </c>
      <c r="E17" s="8">
        <f t="shared" ca="1" si="1"/>
        <v>8.0000000000000016E-2</v>
      </c>
      <c r="F17" s="7"/>
    </row>
    <row r="18" spans="1:7" x14ac:dyDescent="0.2">
      <c r="A18" s="2" t="str">
        <f>DataInColumns!A11</f>
        <v>Buick is named after the founder of Detroit.</v>
      </c>
      <c r="B18" s="2">
        <f>DataInColumns!B11</f>
        <v>0</v>
      </c>
      <c r="C18" s="2">
        <f ca="1">DataInColumns!C11</f>
        <v>0.38</v>
      </c>
      <c r="D18" s="8">
        <f t="shared" si="0"/>
        <v>0</v>
      </c>
      <c r="E18" s="8">
        <f t="shared" ca="1" si="1"/>
        <v>0.38</v>
      </c>
      <c r="F18" s="7"/>
      <c r="G18" s="7"/>
    </row>
    <row r="19" spans="1:7" x14ac:dyDescent="0.2">
      <c r="A19" s="2" t="str">
        <f>DataInColumns!A12</f>
        <v>California has the most seats in the American House of Representatives.</v>
      </c>
      <c r="B19" s="2">
        <f>DataInColumns!B12</f>
        <v>0</v>
      </c>
      <c r="C19" s="2">
        <f ca="1">DataInColumns!C12</f>
        <v>1.0000000000000009E-2</v>
      </c>
      <c r="D19" s="8">
        <f t="shared" si="0"/>
        <v>0</v>
      </c>
      <c r="E19" s="8">
        <f t="shared" ca="1" si="1"/>
        <v>1.0000000000000009E-2</v>
      </c>
    </row>
    <row r="20" spans="1:7" x14ac:dyDescent="0.2">
      <c r="A20" s="2" t="str">
        <f>DataInColumns!A13</f>
        <v>The artist Andy Cole is famous for his images of Campbell's soup cans.</v>
      </c>
      <c r="B20" s="2">
        <f>DataInColumns!B13</f>
        <v>0</v>
      </c>
      <c r="C20" s="2">
        <f ca="1">DataInColumns!C13</f>
        <v>0.28000000000000003</v>
      </c>
      <c r="D20" s="8">
        <f t="shared" si="0"/>
        <v>0</v>
      </c>
      <c r="E20" s="8">
        <f t="shared" ca="1" si="1"/>
        <v>0.28000000000000003</v>
      </c>
    </row>
    <row r="21" spans="1:7" x14ac:dyDescent="0.2">
      <c r="A21" s="2" t="str">
        <f>DataInColumns!A14</f>
        <v>A yeti is a mythical shaggy man-beast who lives in the Himalayas.</v>
      </c>
      <c r="B21" s="2">
        <f>DataInColumns!B14</f>
        <v>0</v>
      </c>
      <c r="C21" s="2">
        <f ca="1">DataInColumns!C14</f>
        <v>0.36000000000000004</v>
      </c>
      <c r="D21" s="8">
        <f t="shared" si="0"/>
        <v>0</v>
      </c>
      <c r="E21" s="8">
        <f t="shared" ca="1" si="1"/>
        <v>0.36000000000000004</v>
      </c>
    </row>
    <row r="22" spans="1:7" x14ac:dyDescent="0.2">
      <c r="A22" s="2" t="str">
        <f>DataInColumns!A15</f>
        <v xml:space="preserve">An "Indian Summer" is an especially warm spring. </v>
      </c>
      <c r="B22" s="2">
        <f>DataInColumns!B15</f>
        <v>0</v>
      </c>
      <c r="C22" s="2">
        <f ca="1">DataInColumns!C15</f>
        <v>0.49</v>
      </c>
      <c r="D22" s="8">
        <f t="shared" si="0"/>
        <v>0</v>
      </c>
      <c r="E22" s="8">
        <f t="shared" ca="1" si="1"/>
        <v>0.49</v>
      </c>
    </row>
    <row r="23" spans="1:7" x14ac:dyDescent="0.2">
      <c r="A23" s="2" t="str">
        <f>DataInColumns!A16</f>
        <v>A fedora is a type of dance.</v>
      </c>
      <c r="B23" s="2">
        <f>DataInColumns!B16</f>
        <v>0</v>
      </c>
      <c r="C23" s="2">
        <f ca="1">DataInColumns!C16</f>
        <v>9.0000000000000024E-2</v>
      </c>
      <c r="D23" s="8">
        <f t="shared" si="0"/>
        <v>0</v>
      </c>
      <c r="E23" s="8">
        <f t="shared" ca="1" si="1"/>
        <v>9.0000000000000024E-2</v>
      </c>
    </row>
    <row r="24" spans="1:7" x14ac:dyDescent="0.2">
      <c r="A24" s="2" t="str">
        <f>DataInColumns!A17</f>
        <v>The song "Day By Day" is featured in the musical "Hair."</v>
      </c>
      <c r="B24" s="2">
        <f>DataInColumns!B17</f>
        <v>0</v>
      </c>
      <c r="C24" s="2">
        <f ca="1">DataInColumns!C17</f>
        <v>0.79</v>
      </c>
      <c r="D24" s="8">
        <f t="shared" si="0"/>
        <v>0</v>
      </c>
      <c r="E24" s="8">
        <f t="shared" ca="1" si="1"/>
        <v>0.79</v>
      </c>
    </row>
    <row r="25" spans="1:7" x14ac:dyDescent="0.2">
      <c r="A25" s="2" t="str">
        <f>DataInColumns!A18</f>
        <v>The Dow Jones average is generated by checking a total of 50 stocks.</v>
      </c>
      <c r="B25" s="2">
        <f>DataInColumns!B18</f>
        <v>0</v>
      </c>
      <c r="C25" s="2">
        <f ca="1">DataInColumns!C18</f>
        <v>0.52</v>
      </c>
      <c r="D25" s="8">
        <f t="shared" si="0"/>
        <v>0</v>
      </c>
      <c r="E25" s="8">
        <f t="shared" ca="1" si="1"/>
        <v>0.52</v>
      </c>
    </row>
    <row r="26" spans="1:7" x14ac:dyDescent="0.2">
      <c r="A26" s="2" t="str">
        <f>DataInColumns!A19</f>
        <v>The first microwave oven was invented in 1947 by Percy Spencer.</v>
      </c>
      <c r="B26" s="2">
        <f>DataInColumns!B19</f>
        <v>0</v>
      </c>
      <c r="C26" s="2">
        <f ca="1">DataInColumns!C19</f>
        <v>0.77</v>
      </c>
      <c r="D26" s="8">
        <f t="shared" si="0"/>
        <v>0</v>
      </c>
      <c r="E26" s="8">
        <f t="shared" ca="1" si="1"/>
        <v>0.77</v>
      </c>
    </row>
    <row r="27" spans="1:7" x14ac:dyDescent="0.2">
      <c r="A27" s="2" t="str">
        <f>DataInColumns!A20</f>
        <v>The first U.S. Space Shuttle to orbit the earth was Columbia.</v>
      </c>
      <c r="B27" s="2">
        <f>DataInColumns!B20</f>
        <v>0</v>
      </c>
      <c r="C27" s="2">
        <f ca="1">DataInColumns!C20</f>
        <v>8.0000000000000016E-2</v>
      </c>
      <c r="D27" s="8">
        <f t="shared" si="0"/>
        <v>0</v>
      </c>
      <c r="E27" s="8">
        <f t="shared" ca="1" si="1"/>
        <v>8.0000000000000016E-2</v>
      </c>
    </row>
    <row r="28" spans="1:7" x14ac:dyDescent="0.2">
      <c r="A28" s="2" t="str">
        <f>DataInColumns!A21</f>
        <v>President McKinley, after he was shot, was succeeded by Theodore Roosevelt.</v>
      </c>
      <c r="B28" s="2">
        <f>DataInColumns!B21</f>
        <v>0</v>
      </c>
      <c r="C28" s="2">
        <f ca="1">DataInColumns!C21</f>
        <v>0.32</v>
      </c>
      <c r="D28" s="8">
        <f t="shared" si="0"/>
        <v>0</v>
      </c>
      <c r="E28" s="8">
        <f t="shared" ca="1" si="1"/>
        <v>0.32</v>
      </c>
    </row>
    <row r="29" spans="1:7" x14ac:dyDescent="0.2">
      <c r="A29" s="2" t="str">
        <f>DataInColumns!A22</f>
        <v>Singer Diana Ross' middle name is Josephine.</v>
      </c>
      <c r="B29" s="2">
        <f>DataInColumns!B22</f>
        <v>0</v>
      </c>
      <c r="C29" s="2">
        <f ca="1">DataInColumns!C22</f>
        <v>0.28000000000000003</v>
      </c>
      <c r="D29" s="8">
        <f t="shared" si="0"/>
        <v>0</v>
      </c>
      <c r="E29" s="8">
        <f t="shared" ca="1" si="1"/>
        <v>0.28000000000000003</v>
      </c>
    </row>
    <row r="30" spans="1:7" x14ac:dyDescent="0.2">
      <c r="A30" s="2" t="str">
        <f>DataInColumns!A23</f>
        <v>The first African-American General in the US military was Patrick F. Healy.</v>
      </c>
      <c r="B30" s="2">
        <f>DataInColumns!B23</f>
        <v>0</v>
      </c>
      <c r="C30" s="2">
        <f ca="1">DataInColumns!C23</f>
        <v>0.47000000000000003</v>
      </c>
      <c r="D30" s="8">
        <f t="shared" si="0"/>
        <v>0</v>
      </c>
      <c r="E30" s="8">
        <f t="shared" ca="1" si="1"/>
        <v>0.47000000000000003</v>
      </c>
    </row>
    <row r="31" spans="1:7" x14ac:dyDescent="0.2">
      <c r="A31" s="2" t="str">
        <f>DataInColumns!A24</f>
        <v>The Japanese art of flower arrangement is known as Ikebana.</v>
      </c>
      <c r="B31" s="2">
        <f>DataInColumns!B24</f>
        <v>0</v>
      </c>
      <c r="C31" s="2">
        <f ca="1">DataInColumns!C24</f>
        <v>0.37</v>
      </c>
      <c r="D31" s="8">
        <f t="shared" si="0"/>
        <v>0</v>
      </c>
      <c r="E31" s="8">
        <f t="shared" ca="1" si="1"/>
        <v>0.37</v>
      </c>
    </row>
    <row r="32" spans="1:7" x14ac:dyDescent="0.2">
      <c r="A32" s="2" t="str">
        <f>DataInColumns!A25</f>
        <v>The former name of the Hawaiian Islands was the Sandwich Islands.</v>
      </c>
      <c r="B32" s="2">
        <f>DataInColumns!B25</f>
        <v>0</v>
      </c>
      <c r="C32" s="2">
        <f ca="1">DataInColumns!C25</f>
        <v>0.69</v>
      </c>
      <c r="D32" s="8">
        <f t="shared" si="0"/>
        <v>0</v>
      </c>
      <c r="E32" s="8">
        <f t="shared" ca="1" si="1"/>
        <v>0.69</v>
      </c>
    </row>
    <row r="33" spans="1:5" x14ac:dyDescent="0.2">
      <c r="A33" s="2" t="str">
        <f>DataInColumns!A26</f>
        <v>In the human body, the stirrup bone is located in the ear.</v>
      </c>
      <c r="B33" s="2">
        <f>DataInColumns!B26</f>
        <v>0</v>
      </c>
      <c r="C33" s="2">
        <f ca="1">DataInColumns!C26</f>
        <v>0.69</v>
      </c>
      <c r="D33" s="8">
        <f t="shared" si="0"/>
        <v>0</v>
      </c>
      <c r="E33" s="8">
        <f t="shared" ca="1" si="1"/>
        <v>0.69</v>
      </c>
    </row>
    <row r="34" spans="1:5" x14ac:dyDescent="0.2">
      <c r="A34" s="2" t="str">
        <f>DataInColumns!A27</f>
        <v>An alektorophobic is frightened of chickens.</v>
      </c>
      <c r="B34" s="2">
        <f>DataInColumns!B27</f>
        <v>0</v>
      </c>
      <c r="C34" s="2">
        <f ca="1">DataInColumns!C27</f>
        <v>0.32</v>
      </c>
      <c r="D34" s="8">
        <f t="shared" si="0"/>
        <v>0</v>
      </c>
      <c r="E34" s="8">
        <f t="shared" ca="1" si="1"/>
        <v>0.32</v>
      </c>
    </row>
    <row r="35" spans="1:5" x14ac:dyDescent="0.2">
      <c r="A35" s="2" t="str">
        <f>DataInColumns!A28</f>
        <v>Memorial Day is observed on the last Thursday of November.</v>
      </c>
      <c r="B35" s="2">
        <f>DataInColumns!B28</f>
        <v>0</v>
      </c>
      <c r="C35" s="2">
        <f ca="1">DataInColumns!C28</f>
        <v>0.12</v>
      </c>
      <c r="D35" s="8">
        <f t="shared" si="0"/>
        <v>0</v>
      </c>
      <c r="E35" s="8">
        <f t="shared" ca="1" si="1"/>
        <v>0.12</v>
      </c>
    </row>
    <row r="36" spans="1:5" x14ac:dyDescent="0.2">
      <c r="A36" s="2" t="str">
        <f>DataInColumns!A29</f>
        <v>The willow tree is sometimes described as "weeping".</v>
      </c>
      <c r="B36" s="2">
        <f>DataInColumns!B29</f>
        <v>0</v>
      </c>
      <c r="C36" s="2">
        <f ca="1">DataInColumns!C29</f>
        <v>5.0000000000000044E-2</v>
      </c>
      <c r="D36" s="8">
        <f t="shared" si="0"/>
        <v>0</v>
      </c>
      <c r="E36" s="8">
        <f t="shared" ca="1" si="1"/>
        <v>5.0000000000000044E-2</v>
      </c>
    </row>
    <row r="37" spans="1:5" x14ac:dyDescent="0.2">
      <c r="A37" s="2" t="str">
        <f>DataInColumns!A30</f>
        <v>The singer Madonna's real surname is Ciccone.</v>
      </c>
      <c r="B37" s="2">
        <f>DataInColumns!B30</f>
        <v>0</v>
      </c>
      <c r="C37" s="2">
        <f ca="1">DataInColumns!C30</f>
        <v>0.19000000000000003</v>
      </c>
      <c r="D37" s="8">
        <f t="shared" si="0"/>
        <v>0</v>
      </c>
      <c r="E37" s="8">
        <f t="shared" ca="1" si="1"/>
        <v>0.19000000000000003</v>
      </c>
    </row>
    <row r="38" spans="1:5" x14ac:dyDescent="0.2">
      <c r="A38" s="2" t="str">
        <f>DataInColumns!A31</f>
        <v>In baseball, home plate is 60 feet, 6 inches from the pitcher's mound.</v>
      </c>
      <c r="B38" s="2">
        <f>DataInColumns!B31</f>
        <v>0</v>
      </c>
      <c r="C38" s="2">
        <f ca="1">DataInColumns!C31</f>
        <v>0.61</v>
      </c>
      <c r="D38" s="8">
        <f t="shared" si="0"/>
        <v>0</v>
      </c>
      <c r="E38" s="8">
        <f t="shared" ca="1" si="1"/>
        <v>0.61</v>
      </c>
    </row>
    <row r="39" spans="1:5" x14ac:dyDescent="0.2">
      <c r="A39" s="2" t="str">
        <f>DataInColumns!A32</f>
        <v>The President's term begins on January 15th.</v>
      </c>
      <c r="B39" s="2">
        <f>DataInColumns!B32</f>
        <v>0</v>
      </c>
      <c r="C39" s="2">
        <f ca="1">DataInColumns!C32</f>
        <v>0.69</v>
      </c>
      <c r="D39" s="8">
        <f t="shared" si="0"/>
        <v>0</v>
      </c>
      <c r="E39" s="8">
        <f t="shared" ca="1" si="1"/>
        <v>0.69</v>
      </c>
    </row>
    <row r="40" spans="1:5" x14ac:dyDescent="0.2">
      <c r="A40" s="2" t="str">
        <f>DataInColumns!A33</f>
        <v>"The Catcher in the Rye" was written by F. Scott Fitzgerald.</v>
      </c>
      <c r="B40" s="2">
        <f>DataInColumns!B33</f>
        <v>0</v>
      </c>
      <c r="C40" s="2">
        <f ca="1">DataInColumns!C33</f>
        <v>0.77</v>
      </c>
      <c r="D40" s="8">
        <f t="shared" si="0"/>
        <v>0</v>
      </c>
      <c r="E40" s="8">
        <f t="shared" ca="1" si="1"/>
        <v>0.77</v>
      </c>
    </row>
    <row r="41" spans="1:5" x14ac:dyDescent="0.2">
      <c r="A41" s="2" t="str">
        <f>DataInColumns!A34</f>
        <v>The country of Thailand was formerly known as Siam.</v>
      </c>
      <c r="B41" s="2">
        <f>DataInColumns!B34</f>
        <v>0</v>
      </c>
      <c r="C41" s="2">
        <f ca="1">DataInColumns!C34</f>
        <v>0</v>
      </c>
      <c r="D41" s="8">
        <f t="shared" si="0"/>
        <v>0</v>
      </c>
      <c r="E41" s="8">
        <f t="shared" ca="1" si="1"/>
        <v>0</v>
      </c>
    </row>
    <row r="42" spans="1:5" x14ac:dyDescent="0.2">
      <c r="A42" s="2" t="str">
        <f>DataInColumns!A35</f>
        <v>In Braille, there are 49 different combinations of dots.</v>
      </c>
      <c r="B42" s="2">
        <f>DataInColumns!B35</f>
        <v>0</v>
      </c>
      <c r="C42" s="2">
        <f ca="1">DataInColumns!C35</f>
        <v>0.48000000000000004</v>
      </c>
      <c r="D42" s="8">
        <f t="shared" si="0"/>
        <v>0</v>
      </c>
      <c r="E42" s="8">
        <f t="shared" ca="1" si="1"/>
        <v>0.48000000000000004</v>
      </c>
    </row>
    <row r="43" spans="1:5" x14ac:dyDescent="0.2">
      <c r="A43" s="2" t="str">
        <f>DataInColumns!A36</f>
        <v>The song "White Christmas" was written by Bing Crosby.</v>
      </c>
      <c r="B43" s="2">
        <f>DataInColumns!B36</f>
        <v>0</v>
      </c>
      <c r="C43" s="2">
        <f ca="1">DataInColumns!C36</f>
        <v>0.51</v>
      </c>
      <c r="D43" s="8">
        <f t="shared" si="0"/>
        <v>0</v>
      </c>
      <c r="E43" s="8">
        <f t="shared" ca="1" si="1"/>
        <v>0.51</v>
      </c>
    </row>
    <row r="44" spans="1:5" x14ac:dyDescent="0.2">
      <c r="A44" s="2" t="str">
        <f>DataInColumns!A37</f>
        <v>Jimmy Carter was not a Republican.</v>
      </c>
      <c r="B44" s="2">
        <f>DataInColumns!B37</f>
        <v>0</v>
      </c>
      <c r="C44" s="2">
        <f ca="1">DataInColumns!C37</f>
        <v>1.0000000000000009E-2</v>
      </c>
      <c r="D44" s="8">
        <f t="shared" si="0"/>
        <v>0</v>
      </c>
      <c r="E44" s="8">
        <f t="shared" ca="1" si="1"/>
        <v>1.0000000000000009E-2</v>
      </c>
    </row>
    <row r="45" spans="1:5" x14ac:dyDescent="0.2">
      <c r="A45" s="2" t="str">
        <f>DataInColumns!A38</f>
        <v>Napoleon was born on the island of Corsica.</v>
      </c>
      <c r="B45" s="2">
        <f>DataInColumns!B38</f>
        <v>0</v>
      </c>
      <c r="C45" s="2">
        <f ca="1">DataInColumns!C38</f>
        <v>0.58000000000000007</v>
      </c>
      <c r="D45" s="8">
        <f t="shared" si="0"/>
        <v>0</v>
      </c>
      <c r="E45" s="8">
        <f t="shared" ca="1" si="1"/>
        <v>0.58000000000000007</v>
      </c>
    </row>
    <row r="46" spans="1:5" x14ac:dyDescent="0.2">
      <c r="A46" s="2" t="str">
        <f>DataInColumns!A39</f>
        <v>Encephalitis is a type of German measles.</v>
      </c>
      <c r="B46" s="2">
        <f>DataInColumns!B39</f>
        <v>0</v>
      </c>
      <c r="C46" s="2">
        <f ca="1">DataInColumns!C39</f>
        <v>0.76</v>
      </c>
      <c r="D46" s="8">
        <f t="shared" si="0"/>
        <v>0</v>
      </c>
      <c r="E46" s="8">
        <f t="shared" ca="1" si="1"/>
        <v>0.76</v>
      </c>
    </row>
    <row r="47" spans="1:5" x14ac:dyDescent="0.2">
      <c r="A47" s="2" t="str">
        <f>DataInColumns!A40</f>
        <v>Homer Simpson's favorite drink is Duff Beer.</v>
      </c>
      <c r="B47" s="2">
        <f>DataInColumns!B40</f>
        <v>0</v>
      </c>
      <c r="C47" s="2">
        <f ca="1">DataInColumns!C40</f>
        <v>9.0000000000000024E-2</v>
      </c>
      <c r="D47" s="8">
        <f t="shared" si="0"/>
        <v>0</v>
      </c>
      <c r="E47" s="8">
        <f t="shared" ca="1" si="1"/>
        <v>9.0000000000000024E-2</v>
      </c>
    </row>
    <row r="48" spans="1:5" x14ac:dyDescent="0.2">
      <c r="A48" s="2" t="str">
        <f>DataInColumns!A41</f>
        <v>A "boot" is what British drivers call the trunk of their car.</v>
      </c>
      <c r="B48" s="2">
        <f>DataInColumns!B41</f>
        <v>0</v>
      </c>
      <c r="C48" s="2">
        <f ca="1">DataInColumns!C41</f>
        <v>0.38</v>
      </c>
      <c r="D48" s="8">
        <f t="shared" si="0"/>
        <v>0</v>
      </c>
      <c r="E48" s="8">
        <f t="shared" ca="1" si="1"/>
        <v>0.38</v>
      </c>
    </row>
    <row r="49" spans="1:5" x14ac:dyDescent="0.2">
      <c r="A49" s="2" t="str">
        <f>DataInColumns!A42</f>
        <v>Laika, the first dog to orbit the earth, was a fox terrier.</v>
      </c>
      <c r="B49" s="2">
        <f>DataInColumns!B42</f>
        <v>0</v>
      </c>
      <c r="C49" s="2">
        <f ca="1">DataInColumns!C42</f>
        <v>0.15000000000000002</v>
      </c>
      <c r="D49" s="8">
        <f t="shared" si="0"/>
        <v>0</v>
      </c>
      <c r="E49" s="8">
        <f t="shared" ca="1" si="1"/>
        <v>0.15000000000000002</v>
      </c>
    </row>
    <row r="50" spans="1:5" x14ac:dyDescent="0.2">
      <c r="A50" s="2" t="str">
        <f>DataInColumns!A43</f>
        <v>The TV show "Cheers" was set in the city of Boston.</v>
      </c>
      <c r="B50" s="2">
        <f>DataInColumns!B43</f>
        <v>0</v>
      </c>
      <c r="C50" s="2">
        <f ca="1">DataInColumns!C43</f>
        <v>0.64</v>
      </c>
      <c r="D50" s="8">
        <f t="shared" si="0"/>
        <v>0</v>
      </c>
      <c r="E50" s="8">
        <f t="shared" ca="1" si="1"/>
        <v>0.64</v>
      </c>
    </row>
    <row r="51" spans="1:5" x14ac:dyDescent="0.2">
      <c r="A51" s="2" t="str">
        <f>DataInColumns!A44</f>
        <v>In a standard game of checkers, each side starts with 12 pieces.</v>
      </c>
      <c r="B51" s="2">
        <f>DataInColumns!B44</f>
        <v>0</v>
      </c>
      <c r="C51" s="2">
        <f ca="1">DataInColumns!C44</f>
        <v>0.23</v>
      </c>
      <c r="D51" s="8">
        <f t="shared" si="0"/>
        <v>0</v>
      </c>
      <c r="E51" s="8">
        <f t="shared" ca="1" si="1"/>
        <v>0.23</v>
      </c>
    </row>
    <row r="52" spans="1:5" x14ac:dyDescent="0.2">
      <c r="A52" s="2" t="str">
        <f>DataInColumns!A45</f>
        <v>The tufted titmouse is a type of rodent.</v>
      </c>
      <c r="B52" s="2">
        <f>DataInColumns!B45</f>
        <v>0</v>
      </c>
      <c r="C52" s="2">
        <f ca="1">DataInColumns!C45</f>
        <v>0.69</v>
      </c>
      <c r="D52" s="8">
        <f t="shared" si="0"/>
        <v>0</v>
      </c>
      <c r="E52" s="8">
        <f t="shared" ca="1" si="1"/>
        <v>0.69</v>
      </c>
    </row>
    <row r="53" spans="1:5" x14ac:dyDescent="0.2">
      <c r="A53" s="2" t="str">
        <f>DataInColumns!A46</f>
        <v xml:space="preserve">The captain of the H.M.S. Titanic was Captain White. </v>
      </c>
      <c r="B53" s="2">
        <f>DataInColumns!B46</f>
        <v>0</v>
      </c>
      <c r="C53" s="2">
        <f ca="1">DataInColumns!C46</f>
        <v>0.24000000000000002</v>
      </c>
      <c r="D53" s="8">
        <f t="shared" si="0"/>
        <v>0</v>
      </c>
      <c r="E53" s="8">
        <f t="shared" ca="1" si="1"/>
        <v>0.24000000000000002</v>
      </c>
    </row>
    <row r="54" spans="1:5" x14ac:dyDescent="0.2">
      <c r="A54" s="2" t="str">
        <f>DataInColumns!A47</f>
        <v>The middle ring of the Olympic flag is black.</v>
      </c>
      <c r="B54" s="2">
        <f>DataInColumns!B47</f>
        <v>0</v>
      </c>
      <c r="C54" s="2">
        <f ca="1">DataInColumns!C47</f>
        <v>0.47000000000000003</v>
      </c>
      <c r="D54" s="8">
        <f t="shared" si="0"/>
        <v>0</v>
      </c>
      <c r="E54" s="8">
        <f t="shared" ca="1" si="1"/>
        <v>0.47000000000000003</v>
      </c>
    </row>
    <row r="55" spans="1:5" x14ac:dyDescent="0.2">
      <c r="A55" s="2" t="str">
        <f>DataInColumns!A48</f>
        <v xml:space="preserve">The nationality of opera singer Placido Domingo is Spanish. </v>
      </c>
      <c r="B55" s="2">
        <f>DataInColumns!B48</f>
        <v>0</v>
      </c>
      <c r="C55" s="2">
        <f ca="1">DataInColumns!C48</f>
        <v>0.22000000000000003</v>
      </c>
      <c r="D55" s="8">
        <f t="shared" si="0"/>
        <v>0</v>
      </c>
      <c r="E55" s="8">
        <f t="shared" ca="1" si="1"/>
        <v>0.22000000000000003</v>
      </c>
    </row>
    <row r="56" spans="1:5" x14ac:dyDescent="0.2">
      <c r="A56" s="2" t="str">
        <f>DataInColumns!A49</f>
        <v>The Bay of Pigs was an attempt to overthrow the government of Argentina.</v>
      </c>
      <c r="B56" s="2">
        <f>DataInColumns!B49</f>
        <v>0</v>
      </c>
      <c r="C56" s="2">
        <f ca="1">DataInColumns!C49</f>
        <v>0.57000000000000006</v>
      </c>
      <c r="D56" s="8">
        <f t="shared" si="0"/>
        <v>0</v>
      </c>
      <c r="E56" s="8">
        <f t="shared" ca="1" si="1"/>
        <v>0.57000000000000006</v>
      </c>
    </row>
    <row r="57" spans="1:5" x14ac:dyDescent="0.2">
      <c r="A57" s="2" t="str">
        <f>DataInColumns!A50</f>
        <v>The city of Bukhara is located in Uzbekistan.</v>
      </c>
      <c r="B57" s="2">
        <f>DataInColumns!B50</f>
        <v>0</v>
      </c>
      <c r="C57" s="2">
        <f ca="1">DataInColumns!C50</f>
        <v>0.10000000000000003</v>
      </c>
      <c r="D57" s="8">
        <f t="shared" si="0"/>
        <v>0</v>
      </c>
      <c r="E57" s="8">
        <f t="shared" ca="1" si="1"/>
        <v>0.10000000000000003</v>
      </c>
    </row>
    <row r="58" spans="1:5" x14ac:dyDescent="0.2">
      <c r="A58" s="2" t="str">
        <f>DataInColumns!A51</f>
        <v>The Bolshoi Ballet is based in Kiev.</v>
      </c>
      <c r="B58" s="2">
        <f>DataInColumns!B51</f>
        <v>1</v>
      </c>
      <c r="C58" s="2">
        <f ca="1">DataInColumns!C51</f>
        <v>0.83</v>
      </c>
      <c r="D58" s="8">
        <f t="shared" ca="1" si="0"/>
        <v>0.83</v>
      </c>
      <c r="E58" s="8">
        <f t="shared" si="1"/>
        <v>0</v>
      </c>
    </row>
    <row r="59" spans="1:5" x14ac:dyDescent="0.2">
      <c r="A59" s="2" t="str">
        <f>DataInColumns!A52</f>
        <v>The flag of Grenada features the spice cinnamon.</v>
      </c>
      <c r="B59" s="2">
        <f>DataInColumns!B52</f>
        <v>1</v>
      </c>
      <c r="C59" s="2">
        <f ca="1">DataInColumns!C52</f>
        <v>0.89999999999999991</v>
      </c>
      <c r="D59" s="8">
        <f t="shared" ca="1" si="0"/>
        <v>0.89999999999999991</v>
      </c>
      <c r="E59" s="8">
        <f t="shared" si="1"/>
        <v>0</v>
      </c>
    </row>
    <row r="60" spans="1:5" x14ac:dyDescent="0.2">
      <c r="A60" s="2" t="str">
        <f>DataInColumns!A53</f>
        <v>The Eagles sang about a Twitchey woman.</v>
      </c>
      <c r="B60" s="2">
        <f>DataInColumns!B53</f>
        <v>1</v>
      </c>
      <c r="C60" s="2">
        <f ca="1">DataInColumns!C53</f>
        <v>0.28999999999999998</v>
      </c>
      <c r="D60" s="8">
        <f t="shared" ca="1" si="0"/>
        <v>0.28999999999999998</v>
      </c>
      <c r="E60" s="8">
        <f t="shared" si="1"/>
        <v>0</v>
      </c>
    </row>
    <row r="61" spans="1:5" x14ac:dyDescent="0.2">
      <c r="A61" s="2" t="str">
        <f>DataInColumns!A54</f>
        <v>A giraffe's neck has 47 bones.</v>
      </c>
      <c r="B61" s="2">
        <f>DataInColumns!B54</f>
        <v>1</v>
      </c>
      <c r="C61" s="2">
        <f ca="1">DataInColumns!C54</f>
        <v>0.79</v>
      </c>
      <c r="D61" s="8">
        <f t="shared" ca="1" si="0"/>
        <v>0.79</v>
      </c>
      <c r="E61" s="8">
        <f t="shared" si="1"/>
        <v>0</v>
      </c>
    </row>
    <row r="62" spans="1:5" x14ac:dyDescent="0.2">
      <c r="A62" s="2" t="str">
        <f>DataInColumns!A55</f>
        <v>The first "A" in NASA stands for American.</v>
      </c>
      <c r="B62" s="2">
        <f>DataInColumns!B55</f>
        <v>1</v>
      </c>
      <c r="C62" s="2">
        <f ca="1">DataInColumns!C55</f>
        <v>0.94</v>
      </c>
      <c r="D62" s="8">
        <f t="shared" ca="1" si="0"/>
        <v>0.94</v>
      </c>
      <c r="E62" s="8">
        <f t="shared" si="1"/>
        <v>0</v>
      </c>
    </row>
    <row r="63" spans="1:5" x14ac:dyDescent="0.2">
      <c r="A63" s="2" t="str">
        <f>DataInColumns!A56</f>
        <v>In Greek mythology, Hebe was the goddess of wisdom.</v>
      </c>
      <c r="B63" s="2">
        <f>DataInColumns!B56</f>
        <v>1</v>
      </c>
      <c r="C63" s="2">
        <f ca="1">DataInColumns!C56</f>
        <v>0.20999999999999996</v>
      </c>
      <c r="D63" s="8">
        <f t="shared" ca="1" si="0"/>
        <v>0.20999999999999996</v>
      </c>
      <c r="E63" s="8">
        <f t="shared" si="1"/>
        <v>0</v>
      </c>
    </row>
    <row r="64" spans="1:5" x14ac:dyDescent="0.2">
      <c r="A64" s="2" t="str">
        <f>DataInColumns!A57</f>
        <v>Miss Piggy's surname is "Perfecto"</v>
      </c>
      <c r="B64" s="2">
        <f>DataInColumns!B57</f>
        <v>1</v>
      </c>
      <c r="C64" s="2">
        <f ca="1">DataInColumns!C57</f>
        <v>0.25999999999999995</v>
      </c>
      <c r="D64" s="8">
        <f t="shared" ca="1" si="0"/>
        <v>0.25999999999999995</v>
      </c>
      <c r="E64" s="8">
        <f t="shared" si="1"/>
        <v>0</v>
      </c>
    </row>
    <row r="65" spans="1:5" x14ac:dyDescent="0.2">
      <c r="A65" s="2" t="str">
        <f>DataInColumns!A58</f>
        <v>"The Jungle Book" was written by Rudyard Kipling.</v>
      </c>
      <c r="B65" s="2">
        <f>DataInColumns!B58</f>
        <v>1</v>
      </c>
      <c r="C65" s="2">
        <f ca="1">DataInColumns!C58</f>
        <v>0.61</v>
      </c>
      <c r="D65" s="8">
        <f t="shared" ca="1" si="0"/>
        <v>0.61</v>
      </c>
      <c r="E65" s="8">
        <f t="shared" si="1"/>
        <v>0</v>
      </c>
    </row>
    <row r="66" spans="1:5" x14ac:dyDescent="0.2">
      <c r="A66" s="2" t="str">
        <f>DataInColumns!A59</f>
        <v>King Arthur's sword was named "Excalibur."</v>
      </c>
      <c r="B66" s="2">
        <f>DataInColumns!B59</f>
        <v>1</v>
      </c>
      <c r="C66" s="2">
        <f ca="1">DataInColumns!C59</f>
        <v>0.31999999999999995</v>
      </c>
      <c r="D66" s="8">
        <f t="shared" ca="1" si="0"/>
        <v>0.31999999999999995</v>
      </c>
      <c r="E66" s="8">
        <f t="shared" si="1"/>
        <v>0</v>
      </c>
    </row>
    <row r="67" spans="1:5" x14ac:dyDescent="0.2">
      <c r="A67" s="2" t="str">
        <f>DataInColumns!A60</f>
        <v>The Republican party is known by the three initials GOP.</v>
      </c>
      <c r="B67" s="2">
        <f>DataInColumns!B60</f>
        <v>1</v>
      </c>
      <c r="C67" s="2">
        <f ca="1">DataInColumns!C60</f>
        <v>0.66999999999999993</v>
      </c>
      <c r="D67" s="8">
        <f t="shared" ca="1" si="0"/>
        <v>0.66999999999999993</v>
      </c>
      <c r="E67" s="8">
        <f t="shared" si="1"/>
        <v>0</v>
      </c>
    </row>
    <row r="68" spans="1:5" x14ac:dyDescent="0.2">
      <c r="A68" s="2" t="str">
        <f>DataInColumns!A61</f>
        <v>The Football Hall of Fame is located in Springfield, Massachusetts.</v>
      </c>
      <c r="B68" s="2">
        <f>DataInColumns!B61</f>
        <v>1</v>
      </c>
      <c r="C68" s="2">
        <f ca="1">DataInColumns!C61</f>
        <v>0.42999999999999994</v>
      </c>
      <c r="D68" s="8">
        <f t="shared" ca="1" si="0"/>
        <v>0.42999999999999994</v>
      </c>
      <c r="E68" s="8">
        <f t="shared" si="1"/>
        <v>0</v>
      </c>
    </row>
    <row r="69" spans="1:5" x14ac:dyDescent="0.2">
      <c r="A69" s="2" t="str">
        <f>DataInColumns!A62</f>
        <v>The general store in "Little House on the Prairie" was owned by the Olesons.</v>
      </c>
      <c r="B69" s="2">
        <f>DataInColumns!B62</f>
        <v>1</v>
      </c>
      <c r="C69" s="2">
        <f ca="1">DataInColumns!C62</f>
        <v>0.75</v>
      </c>
      <c r="D69" s="8">
        <f t="shared" ca="1" si="0"/>
        <v>0.75</v>
      </c>
      <c r="E69" s="8">
        <f t="shared" si="1"/>
        <v>0</v>
      </c>
    </row>
    <row r="70" spans="1:5" x14ac:dyDescent="0.2">
      <c r="A70" s="2" t="str">
        <f>DataInColumns!A63</f>
        <v>The first bank to open in the US was The Provident Institute for Savings.</v>
      </c>
      <c r="B70" s="2">
        <f>DataInColumns!B63</f>
        <v>1</v>
      </c>
      <c r="C70" s="2">
        <f ca="1">DataInColumns!C63</f>
        <v>0.8</v>
      </c>
      <c r="D70" s="8">
        <f t="shared" ca="1" si="0"/>
        <v>0.8</v>
      </c>
      <c r="E70" s="8">
        <f t="shared" si="1"/>
        <v>0</v>
      </c>
    </row>
    <row r="71" spans="1:5" x14ac:dyDescent="0.2">
      <c r="A71" s="2" t="str">
        <f>DataInColumns!A64</f>
        <v>A fish's caudal fin is located on its back.</v>
      </c>
      <c r="B71" s="2">
        <f>DataInColumns!B64</f>
        <v>1</v>
      </c>
      <c r="C71" s="2">
        <f ca="1">DataInColumns!C64</f>
        <v>0.28999999999999998</v>
      </c>
      <c r="D71" s="8">
        <f t="shared" ca="1" si="0"/>
        <v>0.28999999999999998</v>
      </c>
      <c r="E71" s="8">
        <f t="shared" si="1"/>
        <v>0</v>
      </c>
    </row>
    <row r="72" spans="1:5" x14ac:dyDescent="0.2">
      <c r="A72" s="2" t="str">
        <f>DataInColumns!A65</f>
        <v>The cartoon character Wile E. Coyote normally chases Pepe le Pew.</v>
      </c>
      <c r="B72" s="2">
        <f>DataInColumns!B65</f>
        <v>1</v>
      </c>
      <c r="C72" s="2">
        <f ca="1">DataInColumns!C65</f>
        <v>0.80999999999999994</v>
      </c>
      <c r="D72" s="8">
        <f t="shared" ca="1" si="0"/>
        <v>0.80999999999999994</v>
      </c>
      <c r="E72" s="8">
        <f t="shared" si="1"/>
        <v>0</v>
      </c>
    </row>
    <row r="73" spans="1:5" x14ac:dyDescent="0.2">
      <c r="A73" s="2" t="str">
        <f>DataInColumns!A66</f>
        <v>The state flag of Wyoming features a bison.</v>
      </c>
      <c r="B73" s="2">
        <f>DataInColumns!B66</f>
        <v>1</v>
      </c>
      <c r="C73" s="2">
        <f ca="1">DataInColumns!C66</f>
        <v>0.66999999999999993</v>
      </c>
      <c r="D73" s="8">
        <f t="shared" ca="1" si="0"/>
        <v>0.66999999999999993</v>
      </c>
      <c r="E73" s="8">
        <f t="shared" si="1"/>
        <v>0</v>
      </c>
    </row>
    <row r="74" spans="1:5" x14ac:dyDescent="0.2">
      <c r="A74" s="2" t="str">
        <f>DataInColumns!A67</f>
        <v>The first two Super Bowls were won by the Green Bay Packers.</v>
      </c>
      <c r="B74" s="2">
        <f>DataInColumns!B67</f>
        <v>1</v>
      </c>
      <c r="C74" s="2">
        <f ca="1">DataInColumns!C67</f>
        <v>0.84</v>
      </c>
      <c r="D74" s="8">
        <f t="shared" ref="D74:D108" ca="1" si="2">IF(B74=1,C74,0)</f>
        <v>0.84</v>
      </c>
      <c r="E74" s="8">
        <f t="shared" ref="E74:E108" si="3">IF(B74=0,C74,0)</f>
        <v>0</v>
      </c>
    </row>
    <row r="75" spans="1:5" x14ac:dyDescent="0.2">
      <c r="A75" s="2" t="str">
        <f>DataInColumns!A68</f>
        <v>Hot Springs, New Mexico changed its name to Truth or Consequences.</v>
      </c>
      <c r="B75" s="2">
        <f>DataInColumns!B68</f>
        <v>1</v>
      </c>
      <c r="C75" s="2">
        <f ca="1">DataInColumns!C68</f>
        <v>0.96</v>
      </c>
      <c r="D75" s="8">
        <f t="shared" ca="1" si="2"/>
        <v>0.96</v>
      </c>
      <c r="E75" s="8">
        <f t="shared" si="3"/>
        <v>0</v>
      </c>
    </row>
    <row r="76" spans="1:5" x14ac:dyDescent="0.2">
      <c r="A76" s="2" t="str">
        <f>DataInColumns!A69</f>
        <v>The legendary Route 66 crosses six states.</v>
      </c>
      <c r="B76" s="2">
        <f>DataInColumns!B69</f>
        <v>1</v>
      </c>
      <c r="C76" s="2">
        <f ca="1">DataInColumns!C69</f>
        <v>0.82</v>
      </c>
      <c r="D76" s="8">
        <f t="shared" ca="1" si="2"/>
        <v>0.82</v>
      </c>
      <c r="E76" s="8">
        <f t="shared" si="3"/>
        <v>0</v>
      </c>
    </row>
    <row r="77" spans="1:5" x14ac:dyDescent="0.2">
      <c r="A77" s="2" t="str">
        <f>DataInColumns!A70</f>
        <v>"Nobody puts Baby in a corner" is a line from the movie "Dirty Dancing".</v>
      </c>
      <c r="B77" s="2">
        <f>DataInColumns!B70</f>
        <v>1</v>
      </c>
      <c r="C77" s="2">
        <f ca="1">DataInColumns!C70</f>
        <v>0.95</v>
      </c>
      <c r="D77" s="8">
        <f t="shared" ca="1" si="2"/>
        <v>0.95</v>
      </c>
      <c r="E77" s="8">
        <f t="shared" si="3"/>
        <v>0</v>
      </c>
    </row>
    <row r="78" spans="1:5" x14ac:dyDescent="0.2">
      <c r="A78" s="2" t="str">
        <f>DataInColumns!A71</f>
        <v>There are 26 letters in the English alphabet.</v>
      </c>
      <c r="B78" s="2">
        <f>DataInColumns!B71</f>
        <v>1</v>
      </c>
      <c r="C78" s="2">
        <f ca="1">DataInColumns!C71</f>
        <v>0.36</v>
      </c>
      <c r="D78" s="8">
        <f t="shared" ca="1" si="2"/>
        <v>0.36</v>
      </c>
      <c r="E78" s="8">
        <f t="shared" si="3"/>
        <v>0</v>
      </c>
    </row>
    <row r="79" spans="1:5" x14ac:dyDescent="0.2">
      <c r="A79" s="2" t="str">
        <f>DataInColumns!A72</f>
        <v>In the Walt Disney movie, Snow White's hair is black.</v>
      </c>
      <c r="B79" s="2">
        <f>DataInColumns!B72</f>
        <v>1</v>
      </c>
      <c r="C79" s="2">
        <f ca="1">DataInColumns!C72</f>
        <v>0.64</v>
      </c>
      <c r="D79" s="8">
        <f t="shared" ca="1" si="2"/>
        <v>0.64</v>
      </c>
      <c r="E79" s="8">
        <f t="shared" si="3"/>
        <v>0</v>
      </c>
    </row>
    <row r="80" spans="1:5" x14ac:dyDescent="0.2">
      <c r="A80" s="2" t="str">
        <f>DataInColumns!A73</f>
        <v>Cincinnati is the hometown of Sylvester Stallone, and his character Rocky.</v>
      </c>
      <c r="B80" s="2">
        <f>DataInColumns!B73</f>
        <v>1</v>
      </c>
      <c r="C80" s="2">
        <f ca="1">DataInColumns!C73</f>
        <v>0.65999999999999992</v>
      </c>
      <c r="D80" s="8">
        <f t="shared" ca="1" si="2"/>
        <v>0.65999999999999992</v>
      </c>
      <c r="E80" s="8">
        <f t="shared" si="3"/>
        <v>0</v>
      </c>
    </row>
    <row r="81" spans="1:5" x14ac:dyDescent="0.2">
      <c r="A81" s="2" t="str">
        <f>DataInColumns!A74</f>
        <v>Ides of March is celebrated on February 14th.</v>
      </c>
      <c r="B81" s="2">
        <f>DataInColumns!B74</f>
        <v>1</v>
      </c>
      <c r="C81" s="2">
        <f ca="1">DataInColumns!C74</f>
        <v>0.97</v>
      </c>
      <c r="D81" s="8">
        <f t="shared" ca="1" si="2"/>
        <v>0.97</v>
      </c>
      <c r="E81" s="8">
        <f t="shared" si="3"/>
        <v>0</v>
      </c>
    </row>
    <row r="82" spans="1:5" x14ac:dyDescent="0.2">
      <c r="A82" s="2" t="str">
        <f>DataInColumns!A75</f>
        <v>Marilyn Monroe's real name was Jayne Mansfield.</v>
      </c>
      <c r="B82" s="2">
        <f>DataInColumns!B75</f>
        <v>1</v>
      </c>
      <c r="C82" s="2">
        <f ca="1">DataInColumns!C75</f>
        <v>0.67999999999999994</v>
      </c>
      <c r="D82" s="8">
        <f t="shared" ca="1" si="2"/>
        <v>0.67999999999999994</v>
      </c>
      <c r="E82" s="8">
        <f t="shared" si="3"/>
        <v>0</v>
      </c>
    </row>
    <row r="83" spans="1:5" x14ac:dyDescent="0.2">
      <c r="A83" s="2" t="str">
        <f>DataInColumns!A76</f>
        <v>Edwin Land is known for inventing the Post-It note.</v>
      </c>
      <c r="B83" s="2">
        <f>DataInColumns!B76</f>
        <v>1</v>
      </c>
      <c r="C83" s="2">
        <f ca="1">DataInColumns!C76</f>
        <v>0.20999999999999996</v>
      </c>
      <c r="D83" s="8">
        <f t="shared" ca="1" si="2"/>
        <v>0.20999999999999996</v>
      </c>
      <c r="E83" s="8">
        <f t="shared" si="3"/>
        <v>0</v>
      </c>
    </row>
    <row r="84" spans="1:5" x14ac:dyDescent="0.2">
      <c r="A84" s="2" t="str">
        <f>DataInColumns!A77</f>
        <v>A theodolyte is a tool used by a surgeon.</v>
      </c>
      <c r="B84" s="2">
        <f>DataInColumns!B77</f>
        <v>1</v>
      </c>
      <c r="C84" s="2">
        <f ca="1">DataInColumns!C77</f>
        <v>0.28999999999999998</v>
      </c>
      <c r="D84" s="8">
        <f t="shared" ca="1" si="2"/>
        <v>0.28999999999999998</v>
      </c>
      <c r="E84" s="8">
        <f t="shared" si="3"/>
        <v>0</v>
      </c>
    </row>
    <row r="85" spans="1:5" x14ac:dyDescent="0.2">
      <c r="A85" s="2" t="str">
        <f>DataInColumns!A78</f>
        <v>The name of Winnie-the-Pooh's tiger friend is Shere Khan.</v>
      </c>
      <c r="B85" s="2">
        <f>DataInColumns!B78</f>
        <v>1</v>
      </c>
      <c r="C85" s="2">
        <f ca="1">DataInColumns!C78</f>
        <v>0.42999999999999994</v>
      </c>
      <c r="D85" s="8">
        <f t="shared" ca="1" si="2"/>
        <v>0.42999999999999994</v>
      </c>
      <c r="E85" s="8">
        <f t="shared" si="3"/>
        <v>0</v>
      </c>
    </row>
    <row r="86" spans="1:5" x14ac:dyDescent="0.2">
      <c r="A86" s="2" t="str">
        <f>DataInColumns!A79</f>
        <v>The "Wal" in Wal-Mart refers to Fats Walter.</v>
      </c>
      <c r="B86" s="2">
        <f>DataInColumns!B79</f>
        <v>1</v>
      </c>
      <c r="C86" s="2">
        <f ca="1">DataInColumns!C79</f>
        <v>0.33999999999999997</v>
      </c>
      <c r="D86" s="8">
        <f t="shared" ca="1" si="2"/>
        <v>0.33999999999999997</v>
      </c>
      <c r="E86" s="8">
        <f t="shared" si="3"/>
        <v>0</v>
      </c>
    </row>
    <row r="87" spans="1:5" x14ac:dyDescent="0.2">
      <c r="A87" s="2" t="str">
        <f>DataInColumns!A80</f>
        <v xml:space="preserve">The "Star of Africa" diamond is round shaped. </v>
      </c>
      <c r="B87" s="2">
        <f>DataInColumns!B80</f>
        <v>1</v>
      </c>
      <c r="C87" s="2">
        <f ca="1">DataInColumns!C80</f>
        <v>0.91999999999999993</v>
      </c>
      <c r="D87" s="8">
        <f t="shared" ca="1" si="2"/>
        <v>0.91999999999999993</v>
      </c>
      <c r="E87" s="8">
        <f t="shared" si="3"/>
        <v>0</v>
      </c>
    </row>
    <row r="88" spans="1:5" x14ac:dyDescent="0.2">
      <c r="A88" s="2" t="str">
        <f>DataInColumns!A81</f>
        <v>In the movies, a werewolf can usually be killed with a silver bullet.</v>
      </c>
      <c r="B88" s="2">
        <f>DataInColumns!B81</f>
        <v>1</v>
      </c>
      <c r="C88" s="2">
        <f ca="1">DataInColumns!C81</f>
        <v>0.19999999999999996</v>
      </c>
      <c r="D88" s="8">
        <f t="shared" ca="1" si="2"/>
        <v>0.19999999999999996</v>
      </c>
      <c r="E88" s="8">
        <f t="shared" si="3"/>
        <v>0</v>
      </c>
    </row>
    <row r="89" spans="1:5" x14ac:dyDescent="0.2">
      <c r="A89" s="2" t="str">
        <f>DataInColumns!A82</f>
        <v>The movie Star Trek featured Luke Skywalker.</v>
      </c>
      <c r="B89" s="2">
        <f>DataInColumns!B82</f>
        <v>1</v>
      </c>
      <c r="C89" s="2">
        <f ca="1">DataInColumns!C82</f>
        <v>0.84</v>
      </c>
      <c r="D89" s="8">
        <f t="shared" ca="1" si="2"/>
        <v>0.84</v>
      </c>
      <c r="E89" s="8">
        <f t="shared" si="3"/>
        <v>0</v>
      </c>
    </row>
    <row r="90" spans="1:5" x14ac:dyDescent="0.2">
      <c r="A90" s="2" t="str">
        <f>DataInColumns!A83</f>
        <v>The staple diet of silk worms is hawthorn.</v>
      </c>
      <c r="B90" s="2">
        <f>DataInColumns!B83</f>
        <v>1</v>
      </c>
      <c r="C90" s="2">
        <f ca="1">DataInColumns!C83</f>
        <v>0.25999999999999995</v>
      </c>
      <c r="D90" s="8">
        <f t="shared" ca="1" si="2"/>
        <v>0.25999999999999995</v>
      </c>
      <c r="E90" s="8">
        <f t="shared" si="3"/>
        <v>0</v>
      </c>
    </row>
    <row r="91" spans="1:5" x14ac:dyDescent="0.2">
      <c r="A91" s="2" t="str">
        <f>DataInColumns!A84</f>
        <v>The Sorbonne in Paris is an Art Gallery.</v>
      </c>
      <c r="B91" s="2">
        <f>DataInColumns!B84</f>
        <v>1</v>
      </c>
      <c r="C91" s="2">
        <f ca="1">DataInColumns!C84</f>
        <v>0.43999999999999995</v>
      </c>
      <c r="D91" s="8">
        <f t="shared" ca="1" si="2"/>
        <v>0.43999999999999995</v>
      </c>
      <c r="E91" s="8">
        <f t="shared" si="3"/>
        <v>0</v>
      </c>
    </row>
    <row r="92" spans="1:5" x14ac:dyDescent="0.2">
      <c r="A92" s="2" t="str">
        <f>DataInColumns!A85</f>
        <v>Charles Darwin made his famous voyage on a ship named the Pelican.</v>
      </c>
      <c r="B92" s="2">
        <f>DataInColumns!B85</f>
        <v>1</v>
      </c>
      <c r="C92" s="2">
        <f ca="1">DataInColumns!C85</f>
        <v>0.85</v>
      </c>
      <c r="D92" s="8">
        <f t="shared" ca="1" si="2"/>
        <v>0.85</v>
      </c>
      <c r="E92" s="8">
        <f t="shared" si="3"/>
        <v>0</v>
      </c>
    </row>
    <row r="93" spans="1:5" x14ac:dyDescent="0.2">
      <c r="A93" s="2" t="str">
        <f>DataInColumns!A86</f>
        <v>In the Wizard of Oz, the Tin Man wanted a brain.</v>
      </c>
      <c r="B93" s="2">
        <f>DataInColumns!B86</f>
        <v>1</v>
      </c>
      <c r="C93" s="2">
        <f ca="1">DataInColumns!C86</f>
        <v>0.97</v>
      </c>
      <c r="D93" s="8">
        <f t="shared" ca="1" si="2"/>
        <v>0.97</v>
      </c>
      <c r="E93" s="8">
        <f t="shared" si="3"/>
        <v>0</v>
      </c>
    </row>
    <row r="94" spans="1:5" x14ac:dyDescent="0.2">
      <c r="A94" s="2" t="str">
        <f>DataInColumns!A87</f>
        <v>The Greek goddess of love and beauty is Aphrodite.</v>
      </c>
      <c r="B94" s="2">
        <f>DataInColumns!B87</f>
        <v>1</v>
      </c>
      <c r="C94" s="2">
        <f ca="1">DataInColumns!C87</f>
        <v>0.49</v>
      </c>
      <c r="D94" s="8">
        <f t="shared" ca="1" si="2"/>
        <v>0.49</v>
      </c>
      <c r="E94" s="8">
        <f t="shared" si="3"/>
        <v>0</v>
      </c>
    </row>
    <row r="95" spans="1:5" x14ac:dyDescent="0.2">
      <c r="A95" s="2" t="str">
        <f>DataInColumns!A88</f>
        <v>Aviator Charles Lindbergh was known as the "The Lone Eagle."</v>
      </c>
      <c r="B95" s="2">
        <f>DataInColumns!B88</f>
        <v>1</v>
      </c>
      <c r="C95" s="2">
        <f ca="1">DataInColumns!C88</f>
        <v>0.55999999999999994</v>
      </c>
      <c r="D95" s="8">
        <f t="shared" ca="1" si="2"/>
        <v>0.55999999999999994</v>
      </c>
      <c r="E95" s="8">
        <f t="shared" si="3"/>
        <v>0</v>
      </c>
    </row>
    <row r="96" spans="1:5" x14ac:dyDescent="0.2">
      <c r="A96" s="2" t="str">
        <f>DataInColumns!A89</f>
        <v>Nostradamus was famous for making predictions.</v>
      </c>
      <c r="B96" s="2">
        <f>DataInColumns!B89</f>
        <v>1</v>
      </c>
      <c r="C96" s="2">
        <f ca="1">DataInColumns!C89</f>
        <v>0.86</v>
      </c>
      <c r="D96" s="8">
        <f t="shared" ca="1" si="2"/>
        <v>0.86</v>
      </c>
      <c r="E96" s="8">
        <f t="shared" si="3"/>
        <v>0</v>
      </c>
    </row>
    <row r="97" spans="1:5" x14ac:dyDescent="0.2">
      <c r="A97" s="2" t="str">
        <f>DataInColumns!A90</f>
        <v>The ancient city of Babylon is located in modern-day Jordan.</v>
      </c>
      <c r="B97" s="2">
        <f>DataInColumns!B90</f>
        <v>1</v>
      </c>
      <c r="C97" s="2">
        <f ca="1">DataInColumns!C90</f>
        <v>0.54999999999999993</v>
      </c>
      <c r="D97" s="8">
        <f t="shared" ca="1" si="2"/>
        <v>0.54999999999999993</v>
      </c>
      <c r="E97" s="8">
        <f t="shared" si="3"/>
        <v>0</v>
      </c>
    </row>
    <row r="98" spans="1:5" x14ac:dyDescent="0.2">
      <c r="A98" s="2" t="str">
        <f>DataInColumns!A91</f>
        <v>The show "The Price is Right" features the catch phrase "Come on Down!"</v>
      </c>
      <c r="B98" s="2">
        <f>DataInColumns!B91</f>
        <v>1</v>
      </c>
      <c r="C98" s="2">
        <f ca="1">DataInColumns!C91</f>
        <v>0.55999999999999994</v>
      </c>
      <c r="D98" s="8">
        <f t="shared" ca="1" si="2"/>
        <v>0.55999999999999994</v>
      </c>
      <c r="E98" s="8">
        <f t="shared" si="3"/>
        <v>0</v>
      </c>
    </row>
    <row r="99" spans="1:5" x14ac:dyDescent="0.2">
      <c r="A99" s="2" t="str">
        <f>DataInColumns!A92</f>
        <v>At the Olympics, Greg Louganis hit his head on a balance beam.</v>
      </c>
      <c r="B99" s="2">
        <f>DataInColumns!B92</f>
        <v>1</v>
      </c>
      <c r="C99" s="2">
        <f ca="1">DataInColumns!C92</f>
        <v>0.83</v>
      </c>
      <c r="D99" s="8">
        <f t="shared" ca="1" si="2"/>
        <v>0.83</v>
      </c>
      <c r="E99" s="8">
        <f t="shared" si="3"/>
        <v>0</v>
      </c>
    </row>
    <row r="100" spans="1:5" x14ac:dyDescent="0.2">
      <c r="A100" s="2" t="str">
        <f>DataInColumns!A93</f>
        <v>The human hand has 33 bones.</v>
      </c>
      <c r="B100" s="2">
        <f>DataInColumns!B93</f>
        <v>1</v>
      </c>
      <c r="C100" s="2">
        <f ca="1">DataInColumns!C93</f>
        <v>0.35</v>
      </c>
      <c r="D100" s="8">
        <f t="shared" ca="1" si="2"/>
        <v>0.35</v>
      </c>
      <c r="E100" s="8">
        <f t="shared" si="3"/>
        <v>0</v>
      </c>
    </row>
    <row r="101" spans="1:5" x14ac:dyDescent="0.2">
      <c r="A101" s="2" t="str">
        <f>DataInColumns!A94</f>
        <v>Simon and Garfunkel sang about the Scarborough Fair.</v>
      </c>
      <c r="B101" s="2">
        <f>DataInColumns!B94</f>
        <v>1</v>
      </c>
      <c r="C101" s="2">
        <f ca="1">DataInColumns!C94</f>
        <v>0.8</v>
      </c>
      <c r="D101" s="8">
        <f t="shared" ca="1" si="2"/>
        <v>0.8</v>
      </c>
      <c r="E101" s="8">
        <f t="shared" si="3"/>
        <v>0</v>
      </c>
    </row>
    <row r="102" spans="1:5" x14ac:dyDescent="0.2">
      <c r="A102" s="2" t="str">
        <f>DataInColumns!A95</f>
        <v>The largest borough in New York City is Brooklyn.</v>
      </c>
      <c r="B102" s="2">
        <f>DataInColumns!B95</f>
        <v>1</v>
      </c>
      <c r="C102" s="2">
        <f ca="1">DataInColumns!C95</f>
        <v>0.43999999999999995</v>
      </c>
      <c r="D102" s="8">
        <f t="shared" ca="1" si="2"/>
        <v>0.43999999999999995</v>
      </c>
      <c r="E102" s="8">
        <f t="shared" si="3"/>
        <v>0</v>
      </c>
    </row>
    <row r="103" spans="1:5" x14ac:dyDescent="0.2">
      <c r="A103" s="2" t="str">
        <f>DataInColumns!A96</f>
        <v>The book "Uncle Tom's Cabin" was written by Harriet Beecher Stowe.</v>
      </c>
      <c r="B103" s="2">
        <f>DataInColumns!B96</f>
        <v>1</v>
      </c>
      <c r="C103" s="2">
        <f ca="1">DataInColumns!C96</f>
        <v>0.62</v>
      </c>
      <c r="D103" s="8">
        <f t="shared" ca="1" si="2"/>
        <v>0.62</v>
      </c>
      <c r="E103" s="8">
        <f t="shared" si="3"/>
        <v>0</v>
      </c>
    </row>
    <row r="104" spans="1:5" x14ac:dyDescent="0.2">
      <c r="A104" s="2" t="str">
        <f>DataInColumns!A97</f>
        <v>Purple is not a primary color.</v>
      </c>
      <c r="B104" s="2">
        <f>DataInColumns!B97</f>
        <v>1</v>
      </c>
      <c r="C104" s="2">
        <f ca="1">DataInColumns!C97</f>
        <v>0.39</v>
      </c>
      <c r="D104" s="8">
        <f t="shared" ca="1" si="2"/>
        <v>0.39</v>
      </c>
      <c r="E104" s="8">
        <f t="shared" si="3"/>
        <v>0</v>
      </c>
    </row>
    <row r="105" spans="1:5" x14ac:dyDescent="0.2">
      <c r="A105" s="2" t="str">
        <f>DataInColumns!A98</f>
        <v>Burt Lancaster starred in a movie as the "Birdman of Alcatraz"</v>
      </c>
      <c r="B105" s="2">
        <f>DataInColumns!B98</f>
        <v>1</v>
      </c>
      <c r="C105" s="2">
        <f ca="1">DataInColumns!C98</f>
        <v>0.78</v>
      </c>
      <c r="D105" s="8">
        <f t="shared" ca="1" si="2"/>
        <v>0.78</v>
      </c>
      <c r="E105" s="8">
        <f t="shared" si="3"/>
        <v>0</v>
      </c>
    </row>
    <row r="106" spans="1:5" x14ac:dyDescent="0.2">
      <c r="A106" s="2" t="str">
        <f>DataInColumns!A99</f>
        <v>The two official languages of the Olympic Movement are English and French.</v>
      </c>
      <c r="B106" s="2">
        <f>DataInColumns!B99</f>
        <v>1</v>
      </c>
      <c r="C106" s="2">
        <f ca="1">DataInColumns!C99</f>
        <v>0.6</v>
      </c>
      <c r="D106" s="8">
        <f t="shared" ca="1" si="2"/>
        <v>0.6</v>
      </c>
      <c r="E106" s="8">
        <f t="shared" si="3"/>
        <v>0</v>
      </c>
    </row>
    <row r="107" spans="1:5" x14ac:dyDescent="0.2">
      <c r="A107" s="2" t="str">
        <f>DataInColumns!A100</f>
        <v>In Spanish, the word "alcatraz" means Eagle.</v>
      </c>
      <c r="B107" s="2">
        <f>DataInColumns!B100</f>
        <v>1</v>
      </c>
      <c r="C107" s="2">
        <f ca="1">DataInColumns!C100</f>
        <v>0.80999999999999994</v>
      </c>
      <c r="D107" s="8">
        <f t="shared" ca="1" si="2"/>
        <v>0.80999999999999994</v>
      </c>
      <c r="E107" s="8">
        <f t="shared" si="3"/>
        <v>0</v>
      </c>
    </row>
    <row r="108" spans="1:5" x14ac:dyDescent="0.2">
      <c r="A108" s="2" t="str">
        <f>DataInColumns!A101</f>
        <v xml:space="preserve">Senator Joseph McCarthy's middle name is Raymond. </v>
      </c>
      <c r="B108" s="2">
        <f>DataInColumns!B101</f>
        <v>1</v>
      </c>
      <c r="C108" s="2">
        <f ca="1">DataInColumns!C101</f>
        <v>0.54</v>
      </c>
      <c r="D108" s="8">
        <f t="shared" ca="1" si="2"/>
        <v>0.54</v>
      </c>
      <c r="E108" s="8">
        <f t="shared" si="3"/>
        <v>0</v>
      </c>
    </row>
    <row r="110" spans="1:5" s="4" customFormat="1" x14ac:dyDescent="0.2">
      <c r="A110" s="4" t="s">
        <v>241</v>
      </c>
      <c r="B110" s="4">
        <f>SUM(B9:B108)</f>
        <v>51</v>
      </c>
      <c r="D110" s="4">
        <f ca="1">SUM(D9:D108)</f>
        <v>31.380000000000003</v>
      </c>
      <c r="E110" s="4">
        <f ca="1">SUM(E9:E108)</f>
        <v>18.559999999999995</v>
      </c>
    </row>
  </sheetData>
  <mergeCells count="1">
    <mergeCell ref="A1:K1"/>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S122"/>
  <sheetViews>
    <sheetView zoomScaleNormal="100" workbookViewId="0">
      <selection activeCell="G14" sqref="G14"/>
    </sheetView>
  </sheetViews>
  <sheetFormatPr defaultRowHeight="12.75" x14ac:dyDescent="0.2"/>
  <cols>
    <col min="2" max="2" width="12.140625" customWidth="1"/>
    <col min="3" max="3" width="15.42578125" bestFit="1" customWidth="1"/>
    <col min="7" max="7" width="13.7109375" customWidth="1"/>
    <col min="11" max="11" width="9.140625" style="4"/>
  </cols>
  <sheetData>
    <row r="1" spans="1:19" x14ac:dyDescent="0.2">
      <c r="A1" s="90" t="s">
        <v>242</v>
      </c>
      <c r="B1" s="90"/>
      <c r="C1" s="90"/>
      <c r="D1" s="90"/>
      <c r="E1" s="90"/>
      <c r="F1" s="90"/>
      <c r="G1" s="90"/>
      <c r="H1" s="90"/>
      <c r="I1" s="90"/>
      <c r="J1" s="90"/>
      <c r="K1" s="90"/>
    </row>
    <row r="2" spans="1:19" x14ac:dyDescent="0.2">
      <c r="A2" s="23"/>
      <c r="B2" s="23"/>
      <c r="C2" s="23"/>
      <c r="D2" s="23"/>
      <c r="E2" s="23"/>
      <c r="F2" s="23"/>
      <c r="G2" s="23"/>
      <c r="H2" s="23"/>
      <c r="I2" s="23"/>
      <c r="J2" s="23"/>
      <c r="K2" s="23"/>
    </row>
    <row r="3" spans="1:19" ht="14.25" x14ac:dyDescent="0.25">
      <c r="A3" s="34"/>
      <c r="B3" s="20" t="s">
        <v>243</v>
      </c>
      <c r="C3">
        <f>B113</f>
        <v>51</v>
      </c>
      <c r="E3" s="20"/>
      <c r="F3" s="45"/>
      <c r="G3" s="43"/>
      <c r="H3" s="43"/>
      <c r="I3" s="43"/>
    </row>
    <row r="4" spans="1:19" ht="14.25" x14ac:dyDescent="0.25">
      <c r="A4" s="34"/>
      <c r="B4" s="20" t="s">
        <v>247</v>
      </c>
      <c r="C4">
        <f ca="1">D113/C3</f>
        <v>0.61529411764705888</v>
      </c>
      <c r="E4" s="20"/>
      <c r="F4" s="45"/>
      <c r="G4" s="43"/>
      <c r="H4" s="43"/>
      <c r="I4" s="43"/>
    </row>
    <row r="5" spans="1:19" ht="14.25" x14ac:dyDescent="0.25">
      <c r="B5" s="46" t="s">
        <v>244</v>
      </c>
      <c r="C5" s="56">
        <f ca="1">VARP(D12:D111)</f>
        <v>5.738961937716245E-2</v>
      </c>
      <c r="D5" s="56"/>
      <c r="E5" s="20"/>
      <c r="F5" s="45"/>
      <c r="G5" s="42"/>
      <c r="H5" s="42"/>
      <c r="I5" s="42"/>
      <c r="J5" s="8"/>
    </row>
    <row r="6" spans="1:19" ht="14.25" x14ac:dyDescent="0.25">
      <c r="B6" s="46" t="s">
        <v>245</v>
      </c>
      <c r="C6" s="8">
        <f ca="1">DI!M7-C3</f>
        <v>49</v>
      </c>
      <c r="D6" s="8"/>
      <c r="E6" s="8"/>
      <c r="F6" s="8"/>
      <c r="G6" s="8"/>
      <c r="H6" s="8"/>
      <c r="I6" s="8"/>
      <c r="J6" s="8"/>
    </row>
    <row r="7" spans="1:19" ht="14.25" x14ac:dyDescent="0.25">
      <c r="B7" s="46" t="s">
        <v>248</v>
      </c>
      <c r="C7" s="8">
        <f ca="1">E113/C6</f>
        <v>0.37877551020408151</v>
      </c>
      <c r="D7" s="8"/>
      <c r="E7" s="8"/>
      <c r="F7" s="8"/>
      <c r="G7" s="8"/>
      <c r="H7" s="8"/>
      <c r="I7" s="8"/>
      <c r="J7" s="8"/>
    </row>
    <row r="8" spans="1:19" ht="14.25" x14ac:dyDescent="0.25">
      <c r="B8" s="46" t="s">
        <v>246</v>
      </c>
      <c r="C8" s="56">
        <f ca="1">VARP(E12:E111)</f>
        <v>5.4439316951270418E-2</v>
      </c>
      <c r="D8" s="56"/>
      <c r="E8" s="58"/>
      <c r="F8" s="57"/>
      <c r="G8" s="8"/>
      <c r="H8" s="8"/>
      <c r="I8" s="8"/>
      <c r="J8" s="8"/>
    </row>
    <row r="9" spans="1:19" ht="14.25" x14ac:dyDescent="0.25">
      <c r="B9" s="48" t="s">
        <v>249</v>
      </c>
      <c r="C9" s="49">
        <f ca="1">((C3*C5)+(C6*C8))/(C3+C6)</f>
        <v>5.5943971188475355E-2</v>
      </c>
      <c r="D9" s="47"/>
      <c r="E9" s="11" t="s">
        <v>250</v>
      </c>
      <c r="F9" s="8"/>
      <c r="G9" s="8"/>
      <c r="H9" s="8"/>
      <c r="I9" s="8"/>
      <c r="J9" s="8"/>
    </row>
    <row r="10" spans="1:19" x14ac:dyDescent="0.2">
      <c r="B10" s="48"/>
      <c r="C10" s="49"/>
      <c r="D10" s="47"/>
      <c r="E10" s="11"/>
      <c r="F10" s="8"/>
      <c r="G10" s="8"/>
      <c r="H10" s="8"/>
      <c r="I10" s="8"/>
      <c r="J10" s="8"/>
    </row>
    <row r="11" spans="1:19" s="4" customFormat="1" ht="33" customHeight="1" x14ac:dyDescent="0.2">
      <c r="A11" s="4" t="str">
        <f>DataInColumns!A1</f>
        <v>Question</v>
      </c>
      <c r="B11" s="4" t="str">
        <f>DataInColumns!B1</f>
        <v>F/T</v>
      </c>
      <c r="C11" s="4" t="str">
        <f>DataInColumns!C1</f>
        <v>Est.</v>
      </c>
      <c r="D11" s="55" t="s">
        <v>239</v>
      </c>
      <c r="E11" s="55" t="s">
        <v>240</v>
      </c>
      <c r="F11" s="55"/>
    </row>
    <row r="12" spans="1:19" x14ac:dyDescent="0.2">
      <c r="A12" s="2" t="str">
        <f>DataInColumns!A2</f>
        <v>The Russian Ensign from Star Trek was named Nureyev.</v>
      </c>
      <c r="B12" s="2">
        <f>DataInColumns!B2</f>
        <v>0</v>
      </c>
      <c r="C12" s="2">
        <f ca="1">DataInColumns!C2</f>
        <v>0.53</v>
      </c>
      <c r="D12" s="8" t="b">
        <f>IF(B12=1,C12,FALSE)</f>
        <v>0</v>
      </c>
      <c r="E12" s="8">
        <f ca="1">IF(B12=0,C12,FALSE)</f>
        <v>0.53</v>
      </c>
      <c r="F12" s="8"/>
      <c r="S12" s="4" t="s">
        <v>127</v>
      </c>
    </row>
    <row r="13" spans="1:19" x14ac:dyDescent="0.2">
      <c r="A13" s="2" t="str">
        <f>DataInColumns!A3</f>
        <v>The polar bear diet consists primarily of seals.</v>
      </c>
      <c r="B13" s="2">
        <f>DataInColumns!B3</f>
        <v>0</v>
      </c>
      <c r="C13" s="2">
        <f ca="1">DataInColumns!C3</f>
        <v>0.17</v>
      </c>
      <c r="D13" s="8" t="b">
        <f t="shared" ref="D13:D76" si="0">IF(B13=1,C13,FALSE)</f>
        <v>0</v>
      </c>
      <c r="E13" s="8">
        <f t="shared" ref="E13:E76" ca="1" si="1">IF(B13=0,C13,FALSE)</f>
        <v>0.17</v>
      </c>
      <c r="F13" s="8"/>
      <c r="S13" s="4">
        <f ca="1">SUM(B119:L119)</f>
        <v>51</v>
      </c>
    </row>
    <row r="14" spans="1:19" x14ac:dyDescent="0.2">
      <c r="A14" s="2" t="str">
        <f>DataInColumns!A4</f>
        <v>According to folklore, the sandman helps children grow.</v>
      </c>
      <c r="B14" s="2">
        <f>DataInColumns!B4</f>
        <v>0</v>
      </c>
      <c r="C14" s="2">
        <f ca="1">DataInColumns!C4</f>
        <v>0.53</v>
      </c>
      <c r="D14" s="8" t="b">
        <f t="shared" si="0"/>
        <v>0</v>
      </c>
      <c r="E14" s="8">
        <f t="shared" ca="1" si="1"/>
        <v>0.53</v>
      </c>
      <c r="F14" s="8"/>
      <c r="S14" s="4">
        <f ca="1">SUM(B120:L120)</f>
        <v>49</v>
      </c>
    </row>
    <row r="15" spans="1:19" x14ac:dyDescent="0.2">
      <c r="A15" s="2" t="str">
        <f>DataInColumns!A5</f>
        <v>The Concorde was developed in the French city of Toulouse.</v>
      </c>
      <c r="B15" s="2">
        <f>DataInColumns!B5</f>
        <v>0</v>
      </c>
      <c r="C15" s="2">
        <f ca="1">DataInColumns!C5</f>
        <v>0.13</v>
      </c>
      <c r="D15" s="8" t="b">
        <f t="shared" si="0"/>
        <v>0</v>
      </c>
      <c r="E15" s="8">
        <f t="shared" ca="1" si="1"/>
        <v>0.13</v>
      </c>
      <c r="F15" s="8"/>
      <c r="S15" s="4"/>
    </row>
    <row r="16" spans="1:19" x14ac:dyDescent="0.2">
      <c r="A16" s="2" t="str">
        <f>DataInColumns!A6</f>
        <v>In the Peanuts cartoon, the character Schroeder plays the piano.</v>
      </c>
      <c r="B16" s="2">
        <f>DataInColumns!B6</f>
        <v>0</v>
      </c>
      <c r="C16" s="2">
        <f ca="1">DataInColumns!C6</f>
        <v>0.30000000000000004</v>
      </c>
      <c r="D16" s="8" t="b">
        <f t="shared" si="0"/>
        <v>0</v>
      </c>
      <c r="E16" s="8">
        <f t="shared" ca="1" si="1"/>
        <v>0.30000000000000004</v>
      </c>
      <c r="F16" s="8"/>
      <c r="R16" s="4"/>
      <c r="S16" s="4">
        <f ca="1">SUM(B122:L122)</f>
        <v>100</v>
      </c>
    </row>
    <row r="17" spans="1:7" x14ac:dyDescent="0.2">
      <c r="A17" s="2" t="str">
        <f>DataInColumns!A7</f>
        <v>The color brown is not found in a rainbow.</v>
      </c>
      <c r="B17" s="2">
        <f>DataInColumns!B7</f>
        <v>0</v>
      </c>
      <c r="C17" s="2">
        <f ca="1">DataInColumns!C7</f>
        <v>0.43000000000000005</v>
      </c>
      <c r="D17" s="8" t="b">
        <f t="shared" si="0"/>
        <v>0</v>
      </c>
      <c r="E17" s="8">
        <f t="shared" ca="1" si="1"/>
        <v>0.43000000000000005</v>
      </c>
      <c r="F17" s="8"/>
      <c r="G17" s="8"/>
    </row>
    <row r="18" spans="1:7" x14ac:dyDescent="0.2">
      <c r="A18" s="2" t="str">
        <f>DataInColumns!A8</f>
        <v>The World trade Center was designed by architect Mirioru Yamazuki.</v>
      </c>
      <c r="B18" s="2">
        <f>DataInColumns!B8</f>
        <v>0</v>
      </c>
      <c r="C18" s="2">
        <f ca="1">DataInColumns!C8</f>
        <v>0.55000000000000004</v>
      </c>
      <c r="D18" s="8" t="b">
        <f t="shared" si="0"/>
        <v>0</v>
      </c>
      <c r="E18" s="8">
        <f t="shared" ca="1" si="1"/>
        <v>0.55000000000000004</v>
      </c>
      <c r="F18" s="8"/>
      <c r="G18" s="8"/>
    </row>
    <row r="19" spans="1:7" x14ac:dyDescent="0.2">
      <c r="A19" s="2" t="str">
        <f>DataInColumns!A9</f>
        <v>The term "gambit" is associated with pitching horseshoes.</v>
      </c>
      <c r="B19" s="2">
        <f>DataInColumns!B9</f>
        <v>0</v>
      </c>
      <c r="C19" s="2">
        <f ca="1">DataInColumns!C9</f>
        <v>0.38</v>
      </c>
      <c r="D19" s="8" t="b">
        <f t="shared" si="0"/>
        <v>0</v>
      </c>
      <c r="E19" s="8">
        <f t="shared" ca="1" si="1"/>
        <v>0.38</v>
      </c>
      <c r="F19" s="8"/>
      <c r="G19" s="8"/>
    </row>
    <row r="20" spans="1:7" x14ac:dyDescent="0.2">
      <c r="A20" s="2" t="str">
        <f>DataInColumns!A10</f>
        <v>The term "in toto" means on your toes.</v>
      </c>
      <c r="B20" s="2">
        <f>DataInColumns!B10</f>
        <v>0</v>
      </c>
      <c r="C20" s="2">
        <f ca="1">DataInColumns!C10</f>
        <v>8.0000000000000016E-2</v>
      </c>
      <c r="D20" s="8" t="b">
        <f t="shared" si="0"/>
        <v>0</v>
      </c>
      <c r="E20" s="8">
        <f t="shared" ca="1" si="1"/>
        <v>8.0000000000000016E-2</v>
      </c>
      <c r="F20" s="8"/>
      <c r="G20" s="8"/>
    </row>
    <row r="21" spans="1:7" x14ac:dyDescent="0.2">
      <c r="A21" s="2" t="str">
        <f>DataInColumns!A11</f>
        <v>Buick is named after the founder of Detroit.</v>
      </c>
      <c r="B21" s="2">
        <f>DataInColumns!B11</f>
        <v>0</v>
      </c>
      <c r="C21" s="2">
        <f ca="1">DataInColumns!C11</f>
        <v>0.38</v>
      </c>
      <c r="D21" s="8" t="b">
        <f t="shared" si="0"/>
        <v>0</v>
      </c>
      <c r="E21" s="8">
        <f t="shared" ca="1" si="1"/>
        <v>0.38</v>
      </c>
      <c r="F21" s="8"/>
      <c r="G21" s="8"/>
    </row>
    <row r="22" spans="1:7" x14ac:dyDescent="0.2">
      <c r="A22" s="2" t="str">
        <f>DataInColumns!A12</f>
        <v>California has the most seats in the American House of Representatives.</v>
      </c>
      <c r="B22" s="2">
        <f>DataInColumns!B12</f>
        <v>0</v>
      </c>
      <c r="C22" s="2">
        <f ca="1">DataInColumns!C12</f>
        <v>1.0000000000000009E-2</v>
      </c>
      <c r="D22" s="8" t="b">
        <f t="shared" si="0"/>
        <v>0</v>
      </c>
      <c r="E22" s="8">
        <f t="shared" ca="1" si="1"/>
        <v>1.0000000000000009E-2</v>
      </c>
      <c r="F22" s="8"/>
      <c r="G22" s="8"/>
    </row>
    <row r="23" spans="1:7" x14ac:dyDescent="0.2">
      <c r="A23" s="2" t="str">
        <f>DataInColumns!A13</f>
        <v>The artist Andy Cole is famous for his images of Campbell's soup cans.</v>
      </c>
      <c r="B23" s="2">
        <f>DataInColumns!B13</f>
        <v>0</v>
      </c>
      <c r="C23" s="2">
        <f ca="1">DataInColumns!C13</f>
        <v>0.28000000000000003</v>
      </c>
      <c r="D23" s="8" t="b">
        <f t="shared" si="0"/>
        <v>0</v>
      </c>
      <c r="E23" s="8">
        <f t="shared" ca="1" si="1"/>
        <v>0.28000000000000003</v>
      </c>
      <c r="F23" s="8"/>
      <c r="G23" s="8"/>
    </row>
    <row r="24" spans="1:7" x14ac:dyDescent="0.2">
      <c r="A24" s="2" t="str">
        <f>DataInColumns!A14</f>
        <v>A yeti is a mythical shaggy man-beast who lives in the Himalayas.</v>
      </c>
      <c r="B24" s="2">
        <f>DataInColumns!B14</f>
        <v>0</v>
      </c>
      <c r="C24" s="2">
        <f ca="1">DataInColumns!C14</f>
        <v>0.36000000000000004</v>
      </c>
      <c r="D24" s="8" t="b">
        <f t="shared" si="0"/>
        <v>0</v>
      </c>
      <c r="E24" s="8">
        <f t="shared" ca="1" si="1"/>
        <v>0.36000000000000004</v>
      </c>
      <c r="F24" s="8"/>
      <c r="G24" s="8"/>
    </row>
    <row r="25" spans="1:7" x14ac:dyDescent="0.2">
      <c r="A25" s="2" t="str">
        <f>DataInColumns!A15</f>
        <v xml:space="preserve">An "Indian Summer" is an especially warm spring. </v>
      </c>
      <c r="B25" s="2">
        <f>DataInColumns!B15</f>
        <v>0</v>
      </c>
      <c r="C25" s="2">
        <f ca="1">DataInColumns!C15</f>
        <v>0.49</v>
      </c>
      <c r="D25" s="8" t="b">
        <f t="shared" si="0"/>
        <v>0</v>
      </c>
      <c r="E25" s="8">
        <f t="shared" ca="1" si="1"/>
        <v>0.49</v>
      </c>
      <c r="F25" s="8"/>
      <c r="G25" s="8"/>
    </row>
    <row r="26" spans="1:7" x14ac:dyDescent="0.2">
      <c r="A26" s="2" t="str">
        <f>DataInColumns!A16</f>
        <v>A fedora is a type of dance.</v>
      </c>
      <c r="B26" s="2">
        <f>DataInColumns!B16</f>
        <v>0</v>
      </c>
      <c r="C26" s="2">
        <f ca="1">DataInColumns!C16</f>
        <v>9.0000000000000024E-2</v>
      </c>
      <c r="D26" s="8" t="b">
        <f t="shared" si="0"/>
        <v>0</v>
      </c>
      <c r="E26" s="8">
        <f t="shared" ca="1" si="1"/>
        <v>9.0000000000000024E-2</v>
      </c>
      <c r="F26" s="8"/>
      <c r="G26" s="8"/>
    </row>
    <row r="27" spans="1:7" x14ac:dyDescent="0.2">
      <c r="A27" s="2" t="str">
        <f>DataInColumns!A17</f>
        <v>The song "Day By Day" is featured in the musical "Hair."</v>
      </c>
      <c r="B27" s="2">
        <f>DataInColumns!B17</f>
        <v>0</v>
      </c>
      <c r="C27" s="2">
        <f ca="1">DataInColumns!C17</f>
        <v>0.79</v>
      </c>
      <c r="D27" s="8" t="b">
        <f t="shared" si="0"/>
        <v>0</v>
      </c>
      <c r="E27" s="8">
        <f t="shared" ca="1" si="1"/>
        <v>0.79</v>
      </c>
      <c r="F27" s="8"/>
      <c r="G27" s="8"/>
    </row>
    <row r="28" spans="1:7" x14ac:dyDescent="0.2">
      <c r="A28" s="2" t="str">
        <f>DataInColumns!A18</f>
        <v>The Dow Jones average is generated by checking a total of 50 stocks.</v>
      </c>
      <c r="B28" s="2">
        <f>DataInColumns!B18</f>
        <v>0</v>
      </c>
      <c r="C28" s="2">
        <f ca="1">DataInColumns!C18</f>
        <v>0.52</v>
      </c>
      <c r="D28" s="8" t="b">
        <f t="shared" si="0"/>
        <v>0</v>
      </c>
      <c r="E28" s="8">
        <f t="shared" ca="1" si="1"/>
        <v>0.52</v>
      </c>
      <c r="F28" s="8"/>
      <c r="G28" s="8"/>
    </row>
    <row r="29" spans="1:7" x14ac:dyDescent="0.2">
      <c r="A29" s="2" t="str">
        <f>DataInColumns!A19</f>
        <v>The first microwave oven was invented in 1947 by Percy Spencer.</v>
      </c>
      <c r="B29" s="2">
        <f>DataInColumns!B19</f>
        <v>0</v>
      </c>
      <c r="C29" s="2">
        <f ca="1">DataInColumns!C19</f>
        <v>0.77</v>
      </c>
      <c r="D29" s="8" t="b">
        <f t="shared" si="0"/>
        <v>0</v>
      </c>
      <c r="E29" s="8">
        <f t="shared" ca="1" si="1"/>
        <v>0.77</v>
      </c>
      <c r="F29" s="8"/>
      <c r="G29" s="8"/>
    </row>
    <row r="30" spans="1:7" x14ac:dyDescent="0.2">
      <c r="A30" s="2" t="str">
        <f>DataInColumns!A20</f>
        <v>The first U.S. Space Shuttle to orbit the earth was Columbia.</v>
      </c>
      <c r="B30" s="2">
        <f>DataInColumns!B20</f>
        <v>0</v>
      </c>
      <c r="C30" s="2">
        <f ca="1">DataInColumns!C20</f>
        <v>8.0000000000000016E-2</v>
      </c>
      <c r="D30" s="8" t="b">
        <f t="shared" si="0"/>
        <v>0</v>
      </c>
      <c r="E30" s="8">
        <f t="shared" ca="1" si="1"/>
        <v>8.0000000000000016E-2</v>
      </c>
      <c r="F30" s="8"/>
      <c r="G30" s="8"/>
    </row>
    <row r="31" spans="1:7" x14ac:dyDescent="0.2">
      <c r="A31" s="2" t="str">
        <f>DataInColumns!A21</f>
        <v>President McKinley, after he was shot, was succeeded by Theodore Roosevelt.</v>
      </c>
      <c r="B31" s="2">
        <f>DataInColumns!B21</f>
        <v>0</v>
      </c>
      <c r="C31" s="2">
        <f ca="1">DataInColumns!C21</f>
        <v>0.32</v>
      </c>
      <c r="D31" s="8" t="b">
        <f t="shared" si="0"/>
        <v>0</v>
      </c>
      <c r="E31" s="8">
        <f t="shared" ca="1" si="1"/>
        <v>0.32</v>
      </c>
      <c r="F31" s="8"/>
      <c r="G31" s="8"/>
    </row>
    <row r="32" spans="1:7" x14ac:dyDescent="0.2">
      <c r="A32" s="2" t="str">
        <f>DataInColumns!A22</f>
        <v>Singer Diana Ross' middle name is Josephine.</v>
      </c>
      <c r="B32" s="2">
        <f>DataInColumns!B22</f>
        <v>0</v>
      </c>
      <c r="C32" s="2">
        <f ca="1">DataInColumns!C22</f>
        <v>0.28000000000000003</v>
      </c>
      <c r="D32" s="8" t="b">
        <f t="shared" si="0"/>
        <v>0</v>
      </c>
      <c r="E32" s="8">
        <f t="shared" ca="1" si="1"/>
        <v>0.28000000000000003</v>
      </c>
      <c r="F32" s="8"/>
      <c r="G32" s="8"/>
    </row>
    <row r="33" spans="1:7" x14ac:dyDescent="0.2">
      <c r="A33" s="2" t="str">
        <f>DataInColumns!A23</f>
        <v>The first African-American General in the US military was Patrick F. Healy.</v>
      </c>
      <c r="B33" s="2">
        <f>DataInColumns!B23</f>
        <v>0</v>
      </c>
      <c r="C33" s="2">
        <f ca="1">DataInColumns!C23</f>
        <v>0.47000000000000003</v>
      </c>
      <c r="D33" s="8" t="b">
        <f t="shared" si="0"/>
        <v>0</v>
      </c>
      <c r="E33" s="8">
        <f t="shared" ca="1" si="1"/>
        <v>0.47000000000000003</v>
      </c>
      <c r="F33" s="8"/>
      <c r="G33" s="8"/>
    </row>
    <row r="34" spans="1:7" x14ac:dyDescent="0.2">
      <c r="A34" s="2" t="str">
        <f>DataInColumns!A24</f>
        <v>The Japanese art of flower arrangement is known as Ikebana.</v>
      </c>
      <c r="B34" s="2">
        <f>DataInColumns!B24</f>
        <v>0</v>
      </c>
      <c r="C34" s="2">
        <f ca="1">DataInColumns!C24</f>
        <v>0.37</v>
      </c>
      <c r="D34" s="8" t="b">
        <f t="shared" si="0"/>
        <v>0</v>
      </c>
      <c r="E34" s="8">
        <f t="shared" ca="1" si="1"/>
        <v>0.37</v>
      </c>
      <c r="F34" s="8"/>
      <c r="G34" s="8"/>
    </row>
    <row r="35" spans="1:7" x14ac:dyDescent="0.2">
      <c r="A35" s="2" t="str">
        <f>DataInColumns!A25</f>
        <v>The former name of the Hawaiian Islands was the Sandwich Islands.</v>
      </c>
      <c r="B35" s="2">
        <f>DataInColumns!B25</f>
        <v>0</v>
      </c>
      <c r="C35" s="2">
        <f ca="1">DataInColumns!C25</f>
        <v>0.69</v>
      </c>
      <c r="D35" s="8" t="b">
        <f t="shared" si="0"/>
        <v>0</v>
      </c>
      <c r="E35" s="8">
        <f t="shared" ca="1" si="1"/>
        <v>0.69</v>
      </c>
      <c r="F35" s="8"/>
      <c r="G35" s="8"/>
    </row>
    <row r="36" spans="1:7" x14ac:dyDescent="0.2">
      <c r="A36" s="2" t="str">
        <f>DataInColumns!A26</f>
        <v>In the human body, the stirrup bone is located in the ear.</v>
      </c>
      <c r="B36" s="2">
        <f>DataInColumns!B26</f>
        <v>0</v>
      </c>
      <c r="C36" s="2">
        <f ca="1">DataInColumns!C26</f>
        <v>0.69</v>
      </c>
      <c r="D36" s="8" t="b">
        <f t="shared" si="0"/>
        <v>0</v>
      </c>
      <c r="E36" s="8">
        <f t="shared" ca="1" si="1"/>
        <v>0.69</v>
      </c>
      <c r="F36" s="8"/>
      <c r="G36" s="8"/>
    </row>
    <row r="37" spans="1:7" x14ac:dyDescent="0.2">
      <c r="A37" s="2" t="str">
        <f>DataInColumns!A27</f>
        <v>An alektorophobic is frightened of chickens.</v>
      </c>
      <c r="B37" s="2">
        <f>DataInColumns!B27</f>
        <v>0</v>
      </c>
      <c r="C37" s="2">
        <f ca="1">DataInColumns!C27</f>
        <v>0.32</v>
      </c>
      <c r="D37" s="8" t="b">
        <f t="shared" si="0"/>
        <v>0</v>
      </c>
      <c r="E37" s="8">
        <f t="shared" ca="1" si="1"/>
        <v>0.32</v>
      </c>
      <c r="F37" s="8"/>
      <c r="G37" s="8"/>
    </row>
    <row r="38" spans="1:7" x14ac:dyDescent="0.2">
      <c r="A38" s="2" t="str">
        <f>DataInColumns!A28</f>
        <v>Memorial Day is observed on the last Thursday of November.</v>
      </c>
      <c r="B38" s="2">
        <f>DataInColumns!B28</f>
        <v>0</v>
      </c>
      <c r="C38" s="2">
        <f ca="1">DataInColumns!C28</f>
        <v>0.12</v>
      </c>
      <c r="D38" s="8" t="b">
        <f t="shared" si="0"/>
        <v>0</v>
      </c>
      <c r="E38" s="8">
        <f t="shared" ca="1" si="1"/>
        <v>0.12</v>
      </c>
      <c r="F38" s="8"/>
      <c r="G38" s="8"/>
    </row>
    <row r="39" spans="1:7" x14ac:dyDescent="0.2">
      <c r="A39" s="2" t="str">
        <f>DataInColumns!A29</f>
        <v>The willow tree is sometimes described as "weeping".</v>
      </c>
      <c r="B39" s="2">
        <f>DataInColumns!B29</f>
        <v>0</v>
      </c>
      <c r="C39" s="2">
        <f ca="1">DataInColumns!C29</f>
        <v>5.0000000000000044E-2</v>
      </c>
      <c r="D39" s="8" t="b">
        <f t="shared" si="0"/>
        <v>0</v>
      </c>
      <c r="E39" s="8">
        <f t="shared" ca="1" si="1"/>
        <v>5.0000000000000044E-2</v>
      </c>
      <c r="F39" s="8"/>
      <c r="G39" s="8"/>
    </row>
    <row r="40" spans="1:7" x14ac:dyDescent="0.2">
      <c r="A40" s="2" t="str">
        <f>DataInColumns!A30</f>
        <v>The singer Madonna's real surname is Ciccone.</v>
      </c>
      <c r="B40" s="2">
        <f>DataInColumns!B30</f>
        <v>0</v>
      </c>
      <c r="C40" s="2">
        <f ca="1">DataInColumns!C30</f>
        <v>0.19000000000000003</v>
      </c>
      <c r="D40" s="8" t="b">
        <f t="shared" si="0"/>
        <v>0</v>
      </c>
      <c r="E40" s="8">
        <f t="shared" ca="1" si="1"/>
        <v>0.19000000000000003</v>
      </c>
      <c r="F40" s="8"/>
      <c r="G40" s="8"/>
    </row>
    <row r="41" spans="1:7" x14ac:dyDescent="0.2">
      <c r="A41" s="2" t="str">
        <f>DataInColumns!A31</f>
        <v>In baseball, home plate is 60 feet, 6 inches from the pitcher's mound.</v>
      </c>
      <c r="B41" s="2">
        <f>DataInColumns!B31</f>
        <v>0</v>
      </c>
      <c r="C41" s="2">
        <f ca="1">DataInColumns!C31</f>
        <v>0.61</v>
      </c>
      <c r="D41" s="8" t="b">
        <f t="shared" si="0"/>
        <v>0</v>
      </c>
      <c r="E41" s="8">
        <f t="shared" ca="1" si="1"/>
        <v>0.61</v>
      </c>
      <c r="F41" s="8"/>
      <c r="G41" s="8"/>
    </row>
    <row r="42" spans="1:7" x14ac:dyDescent="0.2">
      <c r="A42" s="2" t="str">
        <f>DataInColumns!A32</f>
        <v>The President's term begins on January 15th.</v>
      </c>
      <c r="B42" s="2">
        <f>DataInColumns!B32</f>
        <v>0</v>
      </c>
      <c r="C42" s="2">
        <f ca="1">DataInColumns!C32</f>
        <v>0.69</v>
      </c>
      <c r="D42" s="8" t="b">
        <f t="shared" si="0"/>
        <v>0</v>
      </c>
      <c r="E42" s="8">
        <f t="shared" ca="1" si="1"/>
        <v>0.69</v>
      </c>
      <c r="F42" s="8"/>
      <c r="G42" s="8"/>
    </row>
    <row r="43" spans="1:7" x14ac:dyDescent="0.2">
      <c r="A43" s="2" t="str">
        <f>DataInColumns!A33</f>
        <v>"The Catcher in the Rye" was written by F. Scott Fitzgerald.</v>
      </c>
      <c r="B43" s="2">
        <f>DataInColumns!B33</f>
        <v>0</v>
      </c>
      <c r="C43" s="2">
        <f ca="1">DataInColumns!C33</f>
        <v>0.77</v>
      </c>
      <c r="D43" s="8" t="b">
        <f t="shared" si="0"/>
        <v>0</v>
      </c>
      <c r="E43" s="8">
        <f t="shared" ca="1" si="1"/>
        <v>0.77</v>
      </c>
      <c r="F43" s="8"/>
      <c r="G43" s="8"/>
    </row>
    <row r="44" spans="1:7" x14ac:dyDescent="0.2">
      <c r="A44" s="2" t="str">
        <f>DataInColumns!A34</f>
        <v>The country of Thailand was formerly known as Siam.</v>
      </c>
      <c r="B44" s="2">
        <f>DataInColumns!B34</f>
        <v>0</v>
      </c>
      <c r="C44" s="2">
        <f ca="1">DataInColumns!C34</f>
        <v>0</v>
      </c>
      <c r="D44" s="8" t="b">
        <f t="shared" si="0"/>
        <v>0</v>
      </c>
      <c r="E44" s="8">
        <f t="shared" ca="1" si="1"/>
        <v>0</v>
      </c>
      <c r="F44" s="8"/>
      <c r="G44" s="8"/>
    </row>
    <row r="45" spans="1:7" x14ac:dyDescent="0.2">
      <c r="A45" s="2" t="str">
        <f>DataInColumns!A35</f>
        <v>In Braille, there are 49 different combinations of dots.</v>
      </c>
      <c r="B45" s="2">
        <f>DataInColumns!B35</f>
        <v>0</v>
      </c>
      <c r="C45" s="2">
        <f ca="1">DataInColumns!C35</f>
        <v>0.48000000000000004</v>
      </c>
      <c r="D45" s="8" t="b">
        <f t="shared" si="0"/>
        <v>0</v>
      </c>
      <c r="E45" s="8">
        <f t="shared" ca="1" si="1"/>
        <v>0.48000000000000004</v>
      </c>
      <c r="F45" s="8"/>
      <c r="G45" s="8"/>
    </row>
    <row r="46" spans="1:7" x14ac:dyDescent="0.2">
      <c r="A46" s="2" t="str">
        <f>DataInColumns!A36</f>
        <v>The song "White Christmas" was written by Bing Crosby.</v>
      </c>
      <c r="B46" s="2">
        <f>DataInColumns!B36</f>
        <v>0</v>
      </c>
      <c r="C46" s="2">
        <f ca="1">DataInColumns!C36</f>
        <v>0.51</v>
      </c>
      <c r="D46" s="8" t="b">
        <f t="shared" si="0"/>
        <v>0</v>
      </c>
      <c r="E46" s="8">
        <f t="shared" ca="1" si="1"/>
        <v>0.51</v>
      </c>
      <c r="F46" s="8"/>
      <c r="G46" s="8"/>
    </row>
    <row r="47" spans="1:7" x14ac:dyDescent="0.2">
      <c r="A47" s="2" t="str">
        <f>DataInColumns!A37</f>
        <v>Jimmy Carter was not a Republican.</v>
      </c>
      <c r="B47" s="2">
        <f>DataInColumns!B37</f>
        <v>0</v>
      </c>
      <c r="C47" s="2">
        <f ca="1">DataInColumns!C37</f>
        <v>1.0000000000000009E-2</v>
      </c>
      <c r="D47" s="8" t="b">
        <f t="shared" si="0"/>
        <v>0</v>
      </c>
      <c r="E47" s="8">
        <f t="shared" ca="1" si="1"/>
        <v>1.0000000000000009E-2</v>
      </c>
      <c r="F47" s="8"/>
      <c r="G47" s="8"/>
    </row>
    <row r="48" spans="1:7" x14ac:dyDescent="0.2">
      <c r="A48" s="2" t="str">
        <f>DataInColumns!A38</f>
        <v>Napoleon was born on the island of Corsica.</v>
      </c>
      <c r="B48" s="2">
        <f>DataInColumns!B38</f>
        <v>0</v>
      </c>
      <c r="C48" s="2">
        <f ca="1">DataInColumns!C38</f>
        <v>0.58000000000000007</v>
      </c>
      <c r="D48" s="8" t="b">
        <f t="shared" si="0"/>
        <v>0</v>
      </c>
      <c r="E48" s="8">
        <f t="shared" ca="1" si="1"/>
        <v>0.58000000000000007</v>
      </c>
      <c r="F48" s="8"/>
      <c r="G48" s="8"/>
    </row>
    <row r="49" spans="1:7" x14ac:dyDescent="0.2">
      <c r="A49" s="2" t="str">
        <f>DataInColumns!A39</f>
        <v>Encephalitis is a type of German measles.</v>
      </c>
      <c r="B49" s="2">
        <f>DataInColumns!B39</f>
        <v>0</v>
      </c>
      <c r="C49" s="2">
        <f ca="1">DataInColumns!C39</f>
        <v>0.76</v>
      </c>
      <c r="D49" s="8" t="b">
        <f t="shared" si="0"/>
        <v>0</v>
      </c>
      <c r="E49" s="8">
        <f t="shared" ca="1" si="1"/>
        <v>0.76</v>
      </c>
      <c r="F49" s="8"/>
      <c r="G49" s="8"/>
    </row>
    <row r="50" spans="1:7" x14ac:dyDescent="0.2">
      <c r="A50" s="2" t="str">
        <f>DataInColumns!A40</f>
        <v>Homer Simpson's favorite drink is Duff Beer.</v>
      </c>
      <c r="B50" s="2">
        <f>DataInColumns!B40</f>
        <v>0</v>
      </c>
      <c r="C50" s="2">
        <f ca="1">DataInColumns!C40</f>
        <v>9.0000000000000024E-2</v>
      </c>
      <c r="D50" s="8" t="b">
        <f t="shared" si="0"/>
        <v>0</v>
      </c>
      <c r="E50" s="8">
        <f t="shared" ca="1" si="1"/>
        <v>9.0000000000000024E-2</v>
      </c>
      <c r="F50" s="8"/>
      <c r="G50" s="8"/>
    </row>
    <row r="51" spans="1:7" x14ac:dyDescent="0.2">
      <c r="A51" s="2" t="str">
        <f>DataInColumns!A41</f>
        <v>A "boot" is what British drivers call the trunk of their car.</v>
      </c>
      <c r="B51" s="2">
        <f>DataInColumns!B41</f>
        <v>0</v>
      </c>
      <c r="C51" s="2">
        <f ca="1">DataInColumns!C41</f>
        <v>0.38</v>
      </c>
      <c r="D51" s="8" t="b">
        <f t="shared" si="0"/>
        <v>0</v>
      </c>
      <c r="E51" s="8">
        <f t="shared" ca="1" si="1"/>
        <v>0.38</v>
      </c>
      <c r="F51" s="8"/>
      <c r="G51" s="8"/>
    </row>
    <row r="52" spans="1:7" x14ac:dyDescent="0.2">
      <c r="A52" s="2" t="str">
        <f>DataInColumns!A42</f>
        <v>Laika, the first dog to orbit the earth, was a fox terrier.</v>
      </c>
      <c r="B52" s="2">
        <f>DataInColumns!B42</f>
        <v>0</v>
      </c>
      <c r="C52" s="2">
        <f ca="1">DataInColumns!C42</f>
        <v>0.15000000000000002</v>
      </c>
      <c r="D52" s="8" t="b">
        <f t="shared" si="0"/>
        <v>0</v>
      </c>
      <c r="E52" s="8">
        <f t="shared" ca="1" si="1"/>
        <v>0.15000000000000002</v>
      </c>
      <c r="F52" s="8"/>
      <c r="G52" s="8"/>
    </row>
    <row r="53" spans="1:7" x14ac:dyDescent="0.2">
      <c r="A53" s="2" t="str">
        <f>DataInColumns!A43</f>
        <v>The TV show "Cheers" was set in the city of Boston.</v>
      </c>
      <c r="B53" s="2">
        <f>DataInColumns!B43</f>
        <v>0</v>
      </c>
      <c r="C53" s="2">
        <f ca="1">DataInColumns!C43</f>
        <v>0.64</v>
      </c>
      <c r="D53" s="8" t="b">
        <f t="shared" si="0"/>
        <v>0</v>
      </c>
      <c r="E53" s="8">
        <f t="shared" ca="1" si="1"/>
        <v>0.64</v>
      </c>
      <c r="F53" s="8"/>
      <c r="G53" s="8"/>
    </row>
    <row r="54" spans="1:7" x14ac:dyDescent="0.2">
      <c r="A54" s="2" t="str">
        <f>DataInColumns!A44</f>
        <v>In a standard game of checkers, each side starts with 12 pieces.</v>
      </c>
      <c r="B54" s="2">
        <f>DataInColumns!B44</f>
        <v>0</v>
      </c>
      <c r="C54" s="2">
        <f ca="1">DataInColumns!C44</f>
        <v>0.23</v>
      </c>
      <c r="D54" s="8" t="b">
        <f t="shared" si="0"/>
        <v>0</v>
      </c>
      <c r="E54" s="8">
        <f t="shared" ca="1" si="1"/>
        <v>0.23</v>
      </c>
      <c r="F54" s="8"/>
      <c r="G54" s="8"/>
    </row>
    <row r="55" spans="1:7" x14ac:dyDescent="0.2">
      <c r="A55" s="2" t="str">
        <f>DataInColumns!A45</f>
        <v>The tufted titmouse is a type of rodent.</v>
      </c>
      <c r="B55" s="2">
        <f>DataInColumns!B45</f>
        <v>0</v>
      </c>
      <c r="C55" s="2">
        <f ca="1">DataInColumns!C45</f>
        <v>0.69</v>
      </c>
      <c r="D55" s="8" t="b">
        <f t="shared" si="0"/>
        <v>0</v>
      </c>
      <c r="E55" s="8">
        <f t="shared" ca="1" si="1"/>
        <v>0.69</v>
      </c>
      <c r="F55" s="8"/>
      <c r="G55" s="8"/>
    </row>
    <row r="56" spans="1:7" x14ac:dyDescent="0.2">
      <c r="A56" s="2" t="str">
        <f>DataInColumns!A46</f>
        <v xml:space="preserve">The captain of the H.M.S. Titanic was Captain White. </v>
      </c>
      <c r="B56" s="2">
        <f>DataInColumns!B46</f>
        <v>0</v>
      </c>
      <c r="C56" s="2">
        <f ca="1">DataInColumns!C46</f>
        <v>0.24000000000000002</v>
      </c>
      <c r="D56" s="8" t="b">
        <f t="shared" si="0"/>
        <v>0</v>
      </c>
      <c r="E56" s="8">
        <f t="shared" ca="1" si="1"/>
        <v>0.24000000000000002</v>
      </c>
      <c r="F56" s="8"/>
      <c r="G56" s="8"/>
    </row>
    <row r="57" spans="1:7" x14ac:dyDescent="0.2">
      <c r="A57" s="2" t="str">
        <f>DataInColumns!A47</f>
        <v>The middle ring of the Olympic flag is black.</v>
      </c>
      <c r="B57" s="2">
        <f>DataInColumns!B47</f>
        <v>0</v>
      </c>
      <c r="C57" s="2">
        <f ca="1">DataInColumns!C47</f>
        <v>0.47000000000000003</v>
      </c>
      <c r="D57" s="8" t="b">
        <f t="shared" si="0"/>
        <v>0</v>
      </c>
      <c r="E57" s="8">
        <f t="shared" ca="1" si="1"/>
        <v>0.47000000000000003</v>
      </c>
      <c r="F57" s="8"/>
      <c r="G57" s="8"/>
    </row>
    <row r="58" spans="1:7" x14ac:dyDescent="0.2">
      <c r="A58" s="2" t="str">
        <f>DataInColumns!A48</f>
        <v xml:space="preserve">The nationality of opera singer Placido Domingo is Spanish. </v>
      </c>
      <c r="B58" s="2">
        <f>DataInColumns!B48</f>
        <v>0</v>
      </c>
      <c r="C58" s="2">
        <f ca="1">DataInColumns!C48</f>
        <v>0.22000000000000003</v>
      </c>
      <c r="D58" s="8" t="b">
        <f t="shared" si="0"/>
        <v>0</v>
      </c>
      <c r="E58" s="8">
        <f t="shared" ca="1" si="1"/>
        <v>0.22000000000000003</v>
      </c>
      <c r="F58" s="8"/>
      <c r="G58" s="8"/>
    </row>
    <row r="59" spans="1:7" x14ac:dyDescent="0.2">
      <c r="A59" s="2" t="str">
        <f>DataInColumns!A49</f>
        <v>The Bay of Pigs was an attempt to overthrow the government of Argentina.</v>
      </c>
      <c r="B59" s="2">
        <f>DataInColumns!B49</f>
        <v>0</v>
      </c>
      <c r="C59" s="2">
        <f ca="1">DataInColumns!C49</f>
        <v>0.57000000000000006</v>
      </c>
      <c r="D59" s="8" t="b">
        <f t="shared" si="0"/>
        <v>0</v>
      </c>
      <c r="E59" s="8">
        <f t="shared" ca="1" si="1"/>
        <v>0.57000000000000006</v>
      </c>
      <c r="F59" s="8"/>
      <c r="G59" s="8"/>
    </row>
    <row r="60" spans="1:7" x14ac:dyDescent="0.2">
      <c r="A60" s="2" t="str">
        <f>DataInColumns!A50</f>
        <v>The city of Bukhara is located in Uzbekistan.</v>
      </c>
      <c r="B60" s="2">
        <f>DataInColumns!B50</f>
        <v>0</v>
      </c>
      <c r="C60" s="2">
        <f ca="1">DataInColumns!C50</f>
        <v>0.10000000000000003</v>
      </c>
      <c r="D60" s="8" t="b">
        <f t="shared" si="0"/>
        <v>0</v>
      </c>
      <c r="E60" s="8">
        <f t="shared" ca="1" si="1"/>
        <v>0.10000000000000003</v>
      </c>
      <c r="F60" s="8"/>
      <c r="G60" s="8"/>
    </row>
    <row r="61" spans="1:7" x14ac:dyDescent="0.2">
      <c r="A61" s="2" t="str">
        <f>DataInColumns!A51</f>
        <v>The Bolshoi Ballet is based in Kiev.</v>
      </c>
      <c r="B61" s="2">
        <f>DataInColumns!B51</f>
        <v>1</v>
      </c>
      <c r="C61" s="2">
        <f ca="1">DataInColumns!C51</f>
        <v>0.83</v>
      </c>
      <c r="D61" s="8">
        <f t="shared" ca="1" si="0"/>
        <v>0.83</v>
      </c>
      <c r="E61" s="8" t="b">
        <f t="shared" si="1"/>
        <v>0</v>
      </c>
      <c r="F61" s="8"/>
      <c r="G61" s="8"/>
    </row>
    <row r="62" spans="1:7" x14ac:dyDescent="0.2">
      <c r="A62" s="2" t="str">
        <f>DataInColumns!A52</f>
        <v>The flag of Grenada features the spice cinnamon.</v>
      </c>
      <c r="B62" s="2">
        <f>DataInColumns!B52</f>
        <v>1</v>
      </c>
      <c r="C62" s="2">
        <f ca="1">DataInColumns!C52</f>
        <v>0.89999999999999991</v>
      </c>
      <c r="D62" s="8">
        <f t="shared" ca="1" si="0"/>
        <v>0.89999999999999991</v>
      </c>
      <c r="E62" s="8" t="b">
        <f t="shared" si="1"/>
        <v>0</v>
      </c>
      <c r="F62" s="8"/>
      <c r="G62" s="8"/>
    </row>
    <row r="63" spans="1:7" x14ac:dyDescent="0.2">
      <c r="A63" s="2" t="str">
        <f>DataInColumns!A53</f>
        <v>The Eagles sang about a Twitchey woman.</v>
      </c>
      <c r="B63" s="2">
        <f>DataInColumns!B53</f>
        <v>1</v>
      </c>
      <c r="C63" s="2">
        <f ca="1">DataInColumns!C53</f>
        <v>0.28999999999999998</v>
      </c>
      <c r="D63" s="8">
        <f t="shared" ca="1" si="0"/>
        <v>0.28999999999999998</v>
      </c>
      <c r="E63" s="8" t="b">
        <f t="shared" si="1"/>
        <v>0</v>
      </c>
      <c r="F63" s="8"/>
      <c r="G63" s="8"/>
    </row>
    <row r="64" spans="1:7" x14ac:dyDescent="0.2">
      <c r="A64" s="2" t="str">
        <f>DataInColumns!A54</f>
        <v>A giraffe's neck has 47 bones.</v>
      </c>
      <c r="B64" s="2">
        <f>DataInColumns!B54</f>
        <v>1</v>
      </c>
      <c r="C64" s="2">
        <f ca="1">DataInColumns!C54</f>
        <v>0.79</v>
      </c>
      <c r="D64" s="8">
        <f t="shared" ca="1" si="0"/>
        <v>0.79</v>
      </c>
      <c r="E64" s="8" t="b">
        <f t="shared" si="1"/>
        <v>0</v>
      </c>
      <c r="F64" s="8"/>
      <c r="G64" s="8"/>
    </row>
    <row r="65" spans="1:7" x14ac:dyDescent="0.2">
      <c r="A65" s="2" t="str">
        <f>DataInColumns!A55</f>
        <v>The first "A" in NASA stands for American.</v>
      </c>
      <c r="B65" s="2">
        <f>DataInColumns!B55</f>
        <v>1</v>
      </c>
      <c r="C65" s="2">
        <f ca="1">DataInColumns!C55</f>
        <v>0.94</v>
      </c>
      <c r="D65" s="8">
        <f t="shared" ca="1" si="0"/>
        <v>0.94</v>
      </c>
      <c r="E65" s="8" t="b">
        <f t="shared" si="1"/>
        <v>0</v>
      </c>
      <c r="F65" s="8"/>
      <c r="G65" s="8"/>
    </row>
    <row r="66" spans="1:7" x14ac:dyDescent="0.2">
      <c r="A66" s="2" t="str">
        <f>DataInColumns!A56</f>
        <v>In Greek mythology, Hebe was the goddess of wisdom.</v>
      </c>
      <c r="B66" s="2">
        <f>DataInColumns!B56</f>
        <v>1</v>
      </c>
      <c r="C66" s="2">
        <f ca="1">DataInColumns!C56</f>
        <v>0.20999999999999996</v>
      </c>
      <c r="D66" s="8">
        <f t="shared" ca="1" si="0"/>
        <v>0.20999999999999996</v>
      </c>
      <c r="E66" s="8" t="b">
        <f t="shared" si="1"/>
        <v>0</v>
      </c>
      <c r="F66" s="8"/>
      <c r="G66" s="8"/>
    </row>
    <row r="67" spans="1:7" x14ac:dyDescent="0.2">
      <c r="A67" s="2" t="str">
        <f>DataInColumns!A57</f>
        <v>Miss Piggy's surname is "Perfecto"</v>
      </c>
      <c r="B67" s="2">
        <f>DataInColumns!B57</f>
        <v>1</v>
      </c>
      <c r="C67" s="2">
        <f ca="1">DataInColumns!C57</f>
        <v>0.25999999999999995</v>
      </c>
      <c r="D67" s="8">
        <f t="shared" ca="1" si="0"/>
        <v>0.25999999999999995</v>
      </c>
      <c r="E67" s="8" t="b">
        <f t="shared" si="1"/>
        <v>0</v>
      </c>
      <c r="F67" s="8"/>
      <c r="G67" s="8"/>
    </row>
    <row r="68" spans="1:7" x14ac:dyDescent="0.2">
      <c r="A68" s="2" t="str">
        <f>DataInColumns!A58</f>
        <v>"The Jungle Book" was written by Rudyard Kipling.</v>
      </c>
      <c r="B68" s="2">
        <f>DataInColumns!B58</f>
        <v>1</v>
      </c>
      <c r="C68" s="2">
        <f ca="1">DataInColumns!C58</f>
        <v>0.61</v>
      </c>
      <c r="D68" s="8">
        <f t="shared" ca="1" si="0"/>
        <v>0.61</v>
      </c>
      <c r="E68" s="8" t="b">
        <f t="shared" si="1"/>
        <v>0</v>
      </c>
      <c r="F68" s="8"/>
      <c r="G68" s="8"/>
    </row>
    <row r="69" spans="1:7" x14ac:dyDescent="0.2">
      <c r="A69" s="2" t="str">
        <f>DataInColumns!A59</f>
        <v>King Arthur's sword was named "Excalibur."</v>
      </c>
      <c r="B69" s="2">
        <f>DataInColumns!B59</f>
        <v>1</v>
      </c>
      <c r="C69" s="2">
        <f ca="1">DataInColumns!C59</f>
        <v>0.31999999999999995</v>
      </c>
      <c r="D69" s="8">
        <f t="shared" ca="1" si="0"/>
        <v>0.31999999999999995</v>
      </c>
      <c r="E69" s="8" t="b">
        <f t="shared" si="1"/>
        <v>0</v>
      </c>
      <c r="F69" s="8"/>
      <c r="G69" s="8"/>
    </row>
    <row r="70" spans="1:7" x14ac:dyDescent="0.2">
      <c r="A70" s="2" t="str">
        <f>DataInColumns!A60</f>
        <v>The Republican party is known by the three initials GOP.</v>
      </c>
      <c r="B70" s="2">
        <f>DataInColumns!B60</f>
        <v>1</v>
      </c>
      <c r="C70" s="2">
        <f ca="1">DataInColumns!C60</f>
        <v>0.66999999999999993</v>
      </c>
      <c r="D70" s="8">
        <f t="shared" ca="1" si="0"/>
        <v>0.66999999999999993</v>
      </c>
      <c r="E70" s="8" t="b">
        <f t="shared" si="1"/>
        <v>0</v>
      </c>
      <c r="F70" s="8"/>
      <c r="G70" s="8"/>
    </row>
    <row r="71" spans="1:7" x14ac:dyDescent="0.2">
      <c r="A71" s="2" t="str">
        <f>DataInColumns!A61</f>
        <v>The Football Hall of Fame is located in Springfield, Massachusetts.</v>
      </c>
      <c r="B71" s="2">
        <f>DataInColumns!B61</f>
        <v>1</v>
      </c>
      <c r="C71" s="2">
        <f ca="1">DataInColumns!C61</f>
        <v>0.42999999999999994</v>
      </c>
      <c r="D71" s="8">
        <f t="shared" ca="1" si="0"/>
        <v>0.42999999999999994</v>
      </c>
      <c r="E71" s="8" t="b">
        <f t="shared" si="1"/>
        <v>0</v>
      </c>
      <c r="F71" s="8"/>
      <c r="G71" s="8"/>
    </row>
    <row r="72" spans="1:7" x14ac:dyDescent="0.2">
      <c r="A72" s="2" t="str">
        <f>DataInColumns!A62</f>
        <v>The general store in "Little House on the Prairie" was owned by the Olesons.</v>
      </c>
      <c r="B72" s="2">
        <f>DataInColumns!B62</f>
        <v>1</v>
      </c>
      <c r="C72" s="2">
        <f ca="1">DataInColumns!C62</f>
        <v>0.75</v>
      </c>
      <c r="D72" s="8">
        <f t="shared" ca="1" si="0"/>
        <v>0.75</v>
      </c>
      <c r="E72" s="8" t="b">
        <f t="shared" si="1"/>
        <v>0</v>
      </c>
      <c r="F72" s="8"/>
      <c r="G72" s="8"/>
    </row>
    <row r="73" spans="1:7" x14ac:dyDescent="0.2">
      <c r="A73" s="2" t="str">
        <f>DataInColumns!A63</f>
        <v>The first bank to open in the US was The Provident Institute for Savings.</v>
      </c>
      <c r="B73" s="2">
        <f>DataInColumns!B63</f>
        <v>1</v>
      </c>
      <c r="C73" s="2">
        <f ca="1">DataInColumns!C63</f>
        <v>0.8</v>
      </c>
      <c r="D73" s="8">
        <f t="shared" ca="1" si="0"/>
        <v>0.8</v>
      </c>
      <c r="E73" s="8" t="b">
        <f t="shared" si="1"/>
        <v>0</v>
      </c>
      <c r="F73" s="8"/>
      <c r="G73" s="8"/>
    </row>
    <row r="74" spans="1:7" x14ac:dyDescent="0.2">
      <c r="A74" s="2" t="str">
        <f>DataInColumns!A64</f>
        <v>A fish's caudal fin is located on its back.</v>
      </c>
      <c r="B74" s="2">
        <f>DataInColumns!B64</f>
        <v>1</v>
      </c>
      <c r="C74" s="2">
        <f ca="1">DataInColumns!C64</f>
        <v>0.28999999999999998</v>
      </c>
      <c r="D74" s="8">
        <f t="shared" ca="1" si="0"/>
        <v>0.28999999999999998</v>
      </c>
      <c r="E74" s="8" t="b">
        <f t="shared" si="1"/>
        <v>0</v>
      </c>
      <c r="F74" s="8"/>
      <c r="G74" s="8"/>
    </row>
    <row r="75" spans="1:7" x14ac:dyDescent="0.2">
      <c r="A75" s="2" t="str">
        <f>DataInColumns!A65</f>
        <v>The cartoon character Wile E. Coyote normally chases Pepe le Pew.</v>
      </c>
      <c r="B75" s="2">
        <f>DataInColumns!B65</f>
        <v>1</v>
      </c>
      <c r="C75" s="2">
        <f ca="1">DataInColumns!C65</f>
        <v>0.80999999999999994</v>
      </c>
      <c r="D75" s="8">
        <f t="shared" ca="1" si="0"/>
        <v>0.80999999999999994</v>
      </c>
      <c r="E75" s="8" t="b">
        <f t="shared" si="1"/>
        <v>0</v>
      </c>
      <c r="F75" s="8"/>
      <c r="G75" s="8"/>
    </row>
    <row r="76" spans="1:7" x14ac:dyDescent="0.2">
      <c r="A76" s="2" t="str">
        <f>DataInColumns!A66</f>
        <v>The state flag of Wyoming features a bison.</v>
      </c>
      <c r="B76" s="2">
        <f>DataInColumns!B66</f>
        <v>1</v>
      </c>
      <c r="C76" s="2">
        <f ca="1">DataInColumns!C66</f>
        <v>0.66999999999999993</v>
      </c>
      <c r="D76" s="8">
        <f t="shared" ca="1" si="0"/>
        <v>0.66999999999999993</v>
      </c>
      <c r="E76" s="8" t="b">
        <f t="shared" si="1"/>
        <v>0</v>
      </c>
      <c r="F76" s="8"/>
      <c r="G76" s="8"/>
    </row>
    <row r="77" spans="1:7" x14ac:dyDescent="0.2">
      <c r="A77" s="2" t="str">
        <f>DataInColumns!A67</f>
        <v>The first two Super Bowls were won by the Green Bay Packers.</v>
      </c>
      <c r="B77" s="2">
        <f>DataInColumns!B67</f>
        <v>1</v>
      </c>
      <c r="C77" s="2">
        <f ca="1">DataInColumns!C67</f>
        <v>0.84</v>
      </c>
      <c r="D77" s="8">
        <f t="shared" ref="D77:D111" ca="1" si="2">IF(B77=1,C77,FALSE)</f>
        <v>0.84</v>
      </c>
      <c r="E77" s="8" t="b">
        <f t="shared" ref="E77:E111" si="3">IF(B77=0,C77,FALSE)</f>
        <v>0</v>
      </c>
      <c r="F77" s="8"/>
      <c r="G77" s="8"/>
    </row>
    <row r="78" spans="1:7" x14ac:dyDescent="0.2">
      <c r="A78" s="2" t="str">
        <f>DataInColumns!A68</f>
        <v>Hot Springs, New Mexico changed its name to Truth or Consequences.</v>
      </c>
      <c r="B78" s="2">
        <f>DataInColumns!B68</f>
        <v>1</v>
      </c>
      <c r="C78" s="2">
        <f ca="1">DataInColumns!C68</f>
        <v>0.96</v>
      </c>
      <c r="D78" s="8">
        <f t="shared" ca="1" si="2"/>
        <v>0.96</v>
      </c>
      <c r="E78" s="8" t="b">
        <f t="shared" si="3"/>
        <v>0</v>
      </c>
      <c r="F78" s="8"/>
      <c r="G78" s="8"/>
    </row>
    <row r="79" spans="1:7" x14ac:dyDescent="0.2">
      <c r="A79" s="2" t="str">
        <f>DataInColumns!A69</f>
        <v>The legendary Route 66 crosses six states.</v>
      </c>
      <c r="B79" s="2">
        <f>DataInColumns!B69</f>
        <v>1</v>
      </c>
      <c r="C79" s="2">
        <f ca="1">DataInColumns!C69</f>
        <v>0.82</v>
      </c>
      <c r="D79" s="8">
        <f t="shared" ca="1" si="2"/>
        <v>0.82</v>
      </c>
      <c r="E79" s="8" t="b">
        <f t="shared" si="3"/>
        <v>0</v>
      </c>
      <c r="F79" s="8"/>
      <c r="G79" s="8"/>
    </row>
    <row r="80" spans="1:7" x14ac:dyDescent="0.2">
      <c r="A80" s="2" t="str">
        <f>DataInColumns!A70</f>
        <v>"Nobody puts Baby in a corner" is a line from the movie "Dirty Dancing".</v>
      </c>
      <c r="B80" s="2">
        <f>DataInColumns!B70</f>
        <v>1</v>
      </c>
      <c r="C80" s="2">
        <f ca="1">DataInColumns!C70</f>
        <v>0.95</v>
      </c>
      <c r="D80" s="8">
        <f t="shared" ca="1" si="2"/>
        <v>0.95</v>
      </c>
      <c r="E80" s="8" t="b">
        <f t="shared" si="3"/>
        <v>0</v>
      </c>
      <c r="F80" s="8"/>
      <c r="G80" s="8"/>
    </row>
    <row r="81" spans="1:7" x14ac:dyDescent="0.2">
      <c r="A81" s="2" t="str">
        <f>DataInColumns!A71</f>
        <v>There are 26 letters in the English alphabet.</v>
      </c>
      <c r="B81" s="2">
        <f>DataInColumns!B71</f>
        <v>1</v>
      </c>
      <c r="C81" s="2">
        <f ca="1">DataInColumns!C71</f>
        <v>0.36</v>
      </c>
      <c r="D81" s="8">
        <f t="shared" ca="1" si="2"/>
        <v>0.36</v>
      </c>
      <c r="E81" s="8" t="b">
        <f t="shared" si="3"/>
        <v>0</v>
      </c>
      <c r="F81" s="8"/>
      <c r="G81" s="8"/>
    </row>
    <row r="82" spans="1:7" x14ac:dyDescent="0.2">
      <c r="A82" s="2" t="str">
        <f>DataInColumns!A72</f>
        <v>In the Walt Disney movie, Snow White's hair is black.</v>
      </c>
      <c r="B82" s="2">
        <f>DataInColumns!B72</f>
        <v>1</v>
      </c>
      <c r="C82" s="2">
        <f ca="1">DataInColumns!C72</f>
        <v>0.64</v>
      </c>
      <c r="D82" s="8">
        <f t="shared" ca="1" si="2"/>
        <v>0.64</v>
      </c>
      <c r="E82" s="8" t="b">
        <f t="shared" si="3"/>
        <v>0</v>
      </c>
      <c r="F82" s="8"/>
      <c r="G82" s="8"/>
    </row>
    <row r="83" spans="1:7" x14ac:dyDescent="0.2">
      <c r="A83" s="2" t="str">
        <f>DataInColumns!A73</f>
        <v>Cincinnati is the hometown of Sylvester Stallone, and his character Rocky.</v>
      </c>
      <c r="B83" s="2">
        <f>DataInColumns!B73</f>
        <v>1</v>
      </c>
      <c r="C83" s="2">
        <f ca="1">DataInColumns!C73</f>
        <v>0.65999999999999992</v>
      </c>
      <c r="D83" s="8">
        <f t="shared" ca="1" si="2"/>
        <v>0.65999999999999992</v>
      </c>
      <c r="E83" s="8" t="b">
        <f t="shared" si="3"/>
        <v>0</v>
      </c>
      <c r="F83" s="8"/>
      <c r="G83" s="8"/>
    </row>
    <row r="84" spans="1:7" x14ac:dyDescent="0.2">
      <c r="A84" s="2" t="str">
        <f>DataInColumns!A74</f>
        <v>Ides of March is celebrated on February 14th.</v>
      </c>
      <c r="B84" s="2">
        <f>DataInColumns!B74</f>
        <v>1</v>
      </c>
      <c r="C84" s="2">
        <f ca="1">DataInColumns!C74</f>
        <v>0.97</v>
      </c>
      <c r="D84" s="8">
        <f t="shared" ca="1" si="2"/>
        <v>0.97</v>
      </c>
      <c r="E84" s="8" t="b">
        <f t="shared" si="3"/>
        <v>0</v>
      </c>
      <c r="F84" s="8"/>
      <c r="G84" s="8"/>
    </row>
    <row r="85" spans="1:7" x14ac:dyDescent="0.2">
      <c r="A85" s="2" t="str">
        <f>DataInColumns!A75</f>
        <v>Marilyn Monroe's real name was Jayne Mansfield.</v>
      </c>
      <c r="B85" s="2">
        <f>DataInColumns!B75</f>
        <v>1</v>
      </c>
      <c r="C85" s="2">
        <f ca="1">DataInColumns!C75</f>
        <v>0.67999999999999994</v>
      </c>
      <c r="D85" s="8">
        <f t="shared" ca="1" si="2"/>
        <v>0.67999999999999994</v>
      </c>
      <c r="E85" s="8" t="b">
        <f t="shared" si="3"/>
        <v>0</v>
      </c>
      <c r="F85" s="8"/>
      <c r="G85" s="8"/>
    </row>
    <row r="86" spans="1:7" x14ac:dyDescent="0.2">
      <c r="A86" s="2" t="str">
        <f>DataInColumns!A76</f>
        <v>Edwin Land is known for inventing the Post-It note.</v>
      </c>
      <c r="B86" s="2">
        <f>DataInColumns!B76</f>
        <v>1</v>
      </c>
      <c r="C86" s="2">
        <f ca="1">DataInColumns!C76</f>
        <v>0.20999999999999996</v>
      </c>
      <c r="D86" s="8">
        <f t="shared" ca="1" si="2"/>
        <v>0.20999999999999996</v>
      </c>
      <c r="E86" s="8" t="b">
        <f t="shared" si="3"/>
        <v>0</v>
      </c>
      <c r="F86" s="8"/>
      <c r="G86" s="8"/>
    </row>
    <row r="87" spans="1:7" x14ac:dyDescent="0.2">
      <c r="A87" s="2" t="str">
        <f>DataInColumns!A77</f>
        <v>A theodolyte is a tool used by a surgeon.</v>
      </c>
      <c r="B87" s="2">
        <f>DataInColumns!B77</f>
        <v>1</v>
      </c>
      <c r="C87" s="2">
        <f ca="1">DataInColumns!C77</f>
        <v>0.28999999999999998</v>
      </c>
      <c r="D87" s="8">
        <f t="shared" ca="1" si="2"/>
        <v>0.28999999999999998</v>
      </c>
      <c r="E87" s="8" t="b">
        <f t="shared" si="3"/>
        <v>0</v>
      </c>
      <c r="F87" s="8"/>
      <c r="G87" s="8"/>
    </row>
    <row r="88" spans="1:7" x14ac:dyDescent="0.2">
      <c r="A88" s="2" t="str">
        <f>DataInColumns!A78</f>
        <v>The name of Winnie-the-Pooh's tiger friend is Shere Khan.</v>
      </c>
      <c r="B88" s="2">
        <f>DataInColumns!B78</f>
        <v>1</v>
      </c>
      <c r="C88" s="2">
        <f ca="1">DataInColumns!C78</f>
        <v>0.42999999999999994</v>
      </c>
      <c r="D88" s="8">
        <f t="shared" ca="1" si="2"/>
        <v>0.42999999999999994</v>
      </c>
      <c r="E88" s="8" t="b">
        <f t="shared" si="3"/>
        <v>0</v>
      </c>
      <c r="F88" s="8"/>
      <c r="G88" s="8"/>
    </row>
    <row r="89" spans="1:7" x14ac:dyDescent="0.2">
      <c r="A89" s="2" t="str">
        <f>DataInColumns!A79</f>
        <v>The "Wal" in Wal-Mart refers to Fats Walter.</v>
      </c>
      <c r="B89" s="2">
        <f>DataInColumns!B79</f>
        <v>1</v>
      </c>
      <c r="C89" s="2">
        <f ca="1">DataInColumns!C79</f>
        <v>0.33999999999999997</v>
      </c>
      <c r="D89" s="8">
        <f t="shared" ca="1" si="2"/>
        <v>0.33999999999999997</v>
      </c>
      <c r="E89" s="8" t="b">
        <f t="shared" si="3"/>
        <v>0</v>
      </c>
      <c r="F89" s="8"/>
      <c r="G89" s="8"/>
    </row>
    <row r="90" spans="1:7" x14ac:dyDescent="0.2">
      <c r="A90" s="2" t="str">
        <f>DataInColumns!A80</f>
        <v xml:space="preserve">The "Star of Africa" diamond is round shaped. </v>
      </c>
      <c r="B90" s="2">
        <f>DataInColumns!B80</f>
        <v>1</v>
      </c>
      <c r="C90" s="2">
        <f ca="1">DataInColumns!C80</f>
        <v>0.91999999999999993</v>
      </c>
      <c r="D90" s="8">
        <f t="shared" ca="1" si="2"/>
        <v>0.91999999999999993</v>
      </c>
      <c r="E90" s="8" t="b">
        <f t="shared" si="3"/>
        <v>0</v>
      </c>
      <c r="F90" s="8"/>
      <c r="G90" s="8"/>
    </row>
    <row r="91" spans="1:7" x14ac:dyDescent="0.2">
      <c r="A91" s="2" t="str">
        <f>DataInColumns!A81</f>
        <v>In the movies, a werewolf can usually be killed with a silver bullet.</v>
      </c>
      <c r="B91" s="2">
        <f>DataInColumns!B81</f>
        <v>1</v>
      </c>
      <c r="C91" s="2">
        <f ca="1">DataInColumns!C81</f>
        <v>0.19999999999999996</v>
      </c>
      <c r="D91" s="8">
        <f t="shared" ca="1" si="2"/>
        <v>0.19999999999999996</v>
      </c>
      <c r="E91" s="8" t="b">
        <f t="shared" si="3"/>
        <v>0</v>
      </c>
      <c r="F91" s="8"/>
      <c r="G91" s="8"/>
    </row>
    <row r="92" spans="1:7" x14ac:dyDescent="0.2">
      <c r="A92" s="2" t="str">
        <f>DataInColumns!A82</f>
        <v>The movie Star Trek featured Luke Skywalker.</v>
      </c>
      <c r="B92" s="2">
        <f>DataInColumns!B82</f>
        <v>1</v>
      </c>
      <c r="C92" s="2">
        <f ca="1">DataInColumns!C82</f>
        <v>0.84</v>
      </c>
      <c r="D92" s="8">
        <f t="shared" ca="1" si="2"/>
        <v>0.84</v>
      </c>
      <c r="E92" s="8" t="b">
        <f t="shared" si="3"/>
        <v>0</v>
      </c>
      <c r="F92" s="8"/>
      <c r="G92" s="8"/>
    </row>
    <row r="93" spans="1:7" x14ac:dyDescent="0.2">
      <c r="A93" s="2" t="str">
        <f>DataInColumns!A83</f>
        <v>The staple diet of silk worms is hawthorn.</v>
      </c>
      <c r="B93" s="2">
        <f>DataInColumns!B83</f>
        <v>1</v>
      </c>
      <c r="C93" s="2">
        <f ca="1">DataInColumns!C83</f>
        <v>0.25999999999999995</v>
      </c>
      <c r="D93" s="8">
        <f t="shared" ca="1" si="2"/>
        <v>0.25999999999999995</v>
      </c>
      <c r="E93" s="8" t="b">
        <f t="shared" si="3"/>
        <v>0</v>
      </c>
      <c r="F93" s="8"/>
      <c r="G93" s="8"/>
    </row>
    <row r="94" spans="1:7" x14ac:dyDescent="0.2">
      <c r="A94" s="2" t="str">
        <f>DataInColumns!A84</f>
        <v>The Sorbonne in Paris is an Art Gallery.</v>
      </c>
      <c r="B94" s="2">
        <f>DataInColumns!B84</f>
        <v>1</v>
      </c>
      <c r="C94" s="2">
        <f ca="1">DataInColumns!C84</f>
        <v>0.43999999999999995</v>
      </c>
      <c r="D94" s="8">
        <f t="shared" ca="1" si="2"/>
        <v>0.43999999999999995</v>
      </c>
      <c r="E94" s="8" t="b">
        <f t="shared" si="3"/>
        <v>0</v>
      </c>
      <c r="F94" s="8"/>
      <c r="G94" s="8"/>
    </row>
    <row r="95" spans="1:7" x14ac:dyDescent="0.2">
      <c r="A95" s="2" t="str">
        <f>DataInColumns!A85</f>
        <v>Charles Darwin made his famous voyage on a ship named the Pelican.</v>
      </c>
      <c r="B95" s="2">
        <f>DataInColumns!B85</f>
        <v>1</v>
      </c>
      <c r="C95" s="2">
        <f ca="1">DataInColumns!C85</f>
        <v>0.85</v>
      </c>
      <c r="D95" s="8">
        <f t="shared" ca="1" si="2"/>
        <v>0.85</v>
      </c>
      <c r="E95" s="8" t="b">
        <f t="shared" si="3"/>
        <v>0</v>
      </c>
      <c r="F95" s="8"/>
      <c r="G95" s="8"/>
    </row>
    <row r="96" spans="1:7" x14ac:dyDescent="0.2">
      <c r="A96" s="2" t="str">
        <f>DataInColumns!A86</f>
        <v>In the Wizard of Oz, the Tin Man wanted a brain.</v>
      </c>
      <c r="B96" s="2">
        <f>DataInColumns!B86</f>
        <v>1</v>
      </c>
      <c r="C96" s="2">
        <f ca="1">DataInColumns!C86</f>
        <v>0.97</v>
      </c>
      <c r="D96" s="8">
        <f t="shared" ca="1" si="2"/>
        <v>0.97</v>
      </c>
      <c r="E96" s="8" t="b">
        <f t="shared" si="3"/>
        <v>0</v>
      </c>
      <c r="F96" s="8"/>
      <c r="G96" s="8"/>
    </row>
    <row r="97" spans="1:7" x14ac:dyDescent="0.2">
      <c r="A97" s="2" t="str">
        <f>DataInColumns!A87</f>
        <v>The Greek goddess of love and beauty is Aphrodite.</v>
      </c>
      <c r="B97" s="2">
        <f>DataInColumns!B87</f>
        <v>1</v>
      </c>
      <c r="C97" s="2">
        <f ca="1">DataInColumns!C87</f>
        <v>0.49</v>
      </c>
      <c r="D97" s="8">
        <f t="shared" ca="1" si="2"/>
        <v>0.49</v>
      </c>
      <c r="E97" s="8" t="b">
        <f t="shared" si="3"/>
        <v>0</v>
      </c>
      <c r="F97" s="8"/>
      <c r="G97" s="8"/>
    </row>
    <row r="98" spans="1:7" x14ac:dyDescent="0.2">
      <c r="A98" s="2" t="str">
        <f>DataInColumns!A88</f>
        <v>Aviator Charles Lindbergh was known as the "The Lone Eagle."</v>
      </c>
      <c r="B98" s="2">
        <f>DataInColumns!B88</f>
        <v>1</v>
      </c>
      <c r="C98" s="2">
        <f ca="1">DataInColumns!C88</f>
        <v>0.55999999999999994</v>
      </c>
      <c r="D98" s="8">
        <f t="shared" ca="1" si="2"/>
        <v>0.55999999999999994</v>
      </c>
      <c r="E98" s="8" t="b">
        <f t="shared" si="3"/>
        <v>0</v>
      </c>
      <c r="F98" s="8"/>
      <c r="G98" s="8"/>
    </row>
    <row r="99" spans="1:7" x14ac:dyDescent="0.2">
      <c r="A99" s="2" t="str">
        <f>DataInColumns!A89</f>
        <v>Nostradamus was famous for making predictions.</v>
      </c>
      <c r="B99" s="2">
        <f>DataInColumns!B89</f>
        <v>1</v>
      </c>
      <c r="C99" s="2">
        <f ca="1">DataInColumns!C89</f>
        <v>0.86</v>
      </c>
      <c r="D99" s="8">
        <f t="shared" ca="1" si="2"/>
        <v>0.86</v>
      </c>
      <c r="E99" s="8" t="b">
        <f t="shared" si="3"/>
        <v>0</v>
      </c>
      <c r="F99" s="8"/>
      <c r="G99" s="8"/>
    </row>
    <row r="100" spans="1:7" x14ac:dyDescent="0.2">
      <c r="A100" s="2" t="str">
        <f>DataInColumns!A90</f>
        <v>The ancient city of Babylon is located in modern-day Jordan.</v>
      </c>
      <c r="B100" s="2">
        <f>DataInColumns!B90</f>
        <v>1</v>
      </c>
      <c r="C100" s="2">
        <f ca="1">DataInColumns!C90</f>
        <v>0.54999999999999993</v>
      </c>
      <c r="D100" s="8">
        <f t="shared" ca="1" si="2"/>
        <v>0.54999999999999993</v>
      </c>
      <c r="E100" s="8" t="b">
        <f t="shared" si="3"/>
        <v>0</v>
      </c>
      <c r="F100" s="8"/>
      <c r="G100" s="8"/>
    </row>
    <row r="101" spans="1:7" x14ac:dyDescent="0.2">
      <c r="A101" s="2" t="str">
        <f>DataInColumns!A91</f>
        <v>The show "The Price is Right" features the catch phrase "Come on Down!"</v>
      </c>
      <c r="B101" s="2">
        <f>DataInColumns!B91</f>
        <v>1</v>
      </c>
      <c r="C101" s="2">
        <f ca="1">DataInColumns!C91</f>
        <v>0.55999999999999994</v>
      </c>
      <c r="D101" s="8">
        <f t="shared" ca="1" si="2"/>
        <v>0.55999999999999994</v>
      </c>
      <c r="E101" s="8" t="b">
        <f t="shared" si="3"/>
        <v>0</v>
      </c>
      <c r="F101" s="8"/>
      <c r="G101" s="8"/>
    </row>
    <row r="102" spans="1:7" x14ac:dyDescent="0.2">
      <c r="A102" s="2" t="str">
        <f>DataInColumns!A92</f>
        <v>At the Olympics, Greg Louganis hit his head on a balance beam.</v>
      </c>
      <c r="B102" s="2">
        <f>DataInColumns!B92</f>
        <v>1</v>
      </c>
      <c r="C102" s="2">
        <f ca="1">DataInColumns!C92</f>
        <v>0.83</v>
      </c>
      <c r="D102" s="8">
        <f t="shared" ca="1" si="2"/>
        <v>0.83</v>
      </c>
      <c r="E102" s="8" t="b">
        <f t="shared" si="3"/>
        <v>0</v>
      </c>
      <c r="F102" s="8"/>
      <c r="G102" s="8"/>
    </row>
    <row r="103" spans="1:7" x14ac:dyDescent="0.2">
      <c r="A103" s="2" t="str">
        <f>DataInColumns!A93</f>
        <v>The human hand has 33 bones.</v>
      </c>
      <c r="B103" s="2">
        <f>DataInColumns!B93</f>
        <v>1</v>
      </c>
      <c r="C103" s="2">
        <f ca="1">DataInColumns!C93</f>
        <v>0.35</v>
      </c>
      <c r="D103" s="8">
        <f t="shared" ca="1" si="2"/>
        <v>0.35</v>
      </c>
      <c r="E103" s="8" t="b">
        <f t="shared" si="3"/>
        <v>0</v>
      </c>
      <c r="F103" s="8"/>
      <c r="G103" s="8"/>
    </row>
    <row r="104" spans="1:7" x14ac:dyDescent="0.2">
      <c r="A104" s="2" t="str">
        <f>DataInColumns!A94</f>
        <v>Simon and Garfunkel sang about the Scarborough Fair.</v>
      </c>
      <c r="B104" s="2">
        <f>DataInColumns!B94</f>
        <v>1</v>
      </c>
      <c r="C104" s="2">
        <f ca="1">DataInColumns!C94</f>
        <v>0.8</v>
      </c>
      <c r="D104" s="8">
        <f t="shared" ca="1" si="2"/>
        <v>0.8</v>
      </c>
      <c r="E104" s="8" t="b">
        <f t="shared" si="3"/>
        <v>0</v>
      </c>
      <c r="F104" s="8"/>
      <c r="G104" s="8"/>
    </row>
    <row r="105" spans="1:7" x14ac:dyDescent="0.2">
      <c r="A105" s="2" t="str">
        <f>DataInColumns!A95</f>
        <v>The largest borough in New York City is Brooklyn.</v>
      </c>
      <c r="B105" s="2">
        <f>DataInColumns!B95</f>
        <v>1</v>
      </c>
      <c r="C105" s="2">
        <f ca="1">DataInColumns!C95</f>
        <v>0.43999999999999995</v>
      </c>
      <c r="D105" s="8">
        <f t="shared" ca="1" si="2"/>
        <v>0.43999999999999995</v>
      </c>
      <c r="E105" s="8" t="b">
        <f t="shared" si="3"/>
        <v>0</v>
      </c>
      <c r="F105" s="8"/>
      <c r="G105" s="8"/>
    </row>
    <row r="106" spans="1:7" x14ac:dyDescent="0.2">
      <c r="A106" s="2" t="str">
        <f>DataInColumns!A96</f>
        <v>The book "Uncle Tom's Cabin" was written by Harriet Beecher Stowe.</v>
      </c>
      <c r="B106" s="2">
        <f>DataInColumns!B96</f>
        <v>1</v>
      </c>
      <c r="C106" s="2">
        <f ca="1">DataInColumns!C96</f>
        <v>0.62</v>
      </c>
      <c r="D106" s="8">
        <f t="shared" ca="1" si="2"/>
        <v>0.62</v>
      </c>
      <c r="E106" s="8" t="b">
        <f t="shared" si="3"/>
        <v>0</v>
      </c>
      <c r="F106" s="8"/>
      <c r="G106" s="8"/>
    </row>
    <row r="107" spans="1:7" x14ac:dyDescent="0.2">
      <c r="A107" s="2" t="str">
        <f>DataInColumns!A97</f>
        <v>Purple is not a primary color.</v>
      </c>
      <c r="B107" s="2">
        <f>DataInColumns!B97</f>
        <v>1</v>
      </c>
      <c r="C107" s="2">
        <f ca="1">DataInColumns!C97</f>
        <v>0.39</v>
      </c>
      <c r="D107" s="8">
        <f t="shared" ca="1" si="2"/>
        <v>0.39</v>
      </c>
      <c r="E107" s="8" t="b">
        <f t="shared" si="3"/>
        <v>0</v>
      </c>
      <c r="F107" s="8"/>
      <c r="G107" s="8"/>
    </row>
    <row r="108" spans="1:7" x14ac:dyDescent="0.2">
      <c r="A108" s="2" t="str">
        <f>DataInColumns!A98</f>
        <v>Burt Lancaster starred in a movie as the "Birdman of Alcatraz"</v>
      </c>
      <c r="B108" s="2">
        <f>DataInColumns!B98</f>
        <v>1</v>
      </c>
      <c r="C108" s="2">
        <f ca="1">DataInColumns!C98</f>
        <v>0.78</v>
      </c>
      <c r="D108" s="8">
        <f t="shared" ca="1" si="2"/>
        <v>0.78</v>
      </c>
      <c r="E108" s="8" t="b">
        <f t="shared" si="3"/>
        <v>0</v>
      </c>
      <c r="F108" s="8"/>
      <c r="G108" s="8"/>
    </row>
    <row r="109" spans="1:7" x14ac:dyDescent="0.2">
      <c r="A109" s="2" t="str">
        <f>DataInColumns!A99</f>
        <v>The two official languages of the Olympic Movement are English and French.</v>
      </c>
      <c r="B109" s="2">
        <f>DataInColumns!B99</f>
        <v>1</v>
      </c>
      <c r="C109" s="2">
        <f ca="1">DataInColumns!C99</f>
        <v>0.6</v>
      </c>
      <c r="D109" s="8">
        <f t="shared" ca="1" si="2"/>
        <v>0.6</v>
      </c>
      <c r="E109" s="8" t="b">
        <f t="shared" si="3"/>
        <v>0</v>
      </c>
      <c r="F109" s="8"/>
      <c r="G109" s="8"/>
    </row>
    <row r="110" spans="1:7" x14ac:dyDescent="0.2">
      <c r="A110" s="2" t="str">
        <f>DataInColumns!A100</f>
        <v>In Spanish, the word "alcatraz" means Eagle.</v>
      </c>
      <c r="B110" s="2">
        <f>DataInColumns!B100</f>
        <v>1</v>
      </c>
      <c r="C110" s="2">
        <f ca="1">DataInColumns!C100</f>
        <v>0.80999999999999994</v>
      </c>
      <c r="D110" s="8">
        <f t="shared" ca="1" si="2"/>
        <v>0.80999999999999994</v>
      </c>
      <c r="E110" s="8" t="b">
        <f t="shared" si="3"/>
        <v>0</v>
      </c>
      <c r="F110" s="8"/>
      <c r="G110" s="8"/>
    </row>
    <row r="111" spans="1:7" x14ac:dyDescent="0.2">
      <c r="A111" s="2" t="str">
        <f>DataInColumns!A101</f>
        <v xml:space="preserve">Senator Joseph McCarthy's middle name is Raymond. </v>
      </c>
      <c r="B111" s="2">
        <f>DataInColumns!B101</f>
        <v>1</v>
      </c>
      <c r="C111" s="2">
        <f ca="1">DataInColumns!C101</f>
        <v>0.54</v>
      </c>
      <c r="D111" s="8">
        <f t="shared" ca="1" si="2"/>
        <v>0.54</v>
      </c>
      <c r="E111" s="8" t="b">
        <f t="shared" si="3"/>
        <v>0</v>
      </c>
      <c r="F111" s="8"/>
      <c r="G111" s="8"/>
    </row>
    <row r="113" spans="1:13" s="4" customFormat="1" x14ac:dyDescent="0.2">
      <c r="A113" s="4" t="s">
        <v>241</v>
      </c>
      <c r="B113" s="4">
        <f>SUM(B12:B111)</f>
        <v>51</v>
      </c>
      <c r="D113" s="4">
        <f ca="1">SUM(D12:D111)</f>
        <v>31.380000000000003</v>
      </c>
      <c r="E113" s="4">
        <f ca="1">SUM(E12:E111)</f>
        <v>18.559999999999995</v>
      </c>
    </row>
    <row r="117" spans="1:13" ht="14.25" x14ac:dyDescent="0.25">
      <c r="B117" s="92" t="s">
        <v>196</v>
      </c>
      <c r="C117" s="92"/>
      <c r="D117" s="92"/>
      <c r="E117" s="92"/>
      <c r="F117" s="92"/>
      <c r="G117" s="92"/>
      <c r="H117" s="92"/>
      <c r="J117" s="4"/>
    </row>
    <row r="118" spans="1:13" x14ac:dyDescent="0.2">
      <c r="A118" s="2" t="s">
        <v>183</v>
      </c>
      <c r="B118" s="16">
        <v>0</v>
      </c>
      <c r="C118" s="16">
        <v>0.1</v>
      </c>
      <c r="D118" s="16">
        <v>0.2</v>
      </c>
      <c r="E118" s="16">
        <v>0.3</v>
      </c>
      <c r="F118" s="16">
        <v>0.4</v>
      </c>
      <c r="G118" s="16">
        <v>0.5</v>
      </c>
      <c r="H118" s="16">
        <v>0.6</v>
      </c>
      <c r="I118" s="16">
        <v>0.7</v>
      </c>
      <c r="J118" s="16">
        <v>0.8</v>
      </c>
      <c r="K118" s="16">
        <v>0.9</v>
      </c>
      <c r="L118" s="16">
        <v>1</v>
      </c>
    </row>
    <row r="119" spans="1:13" x14ac:dyDescent="0.2">
      <c r="A119" s="2" t="s">
        <v>258</v>
      </c>
      <c r="B119" s="3">
        <f ca="1">COUNTIFS(DataInColumns!$E$2:$E$101,"0",DataInColumns!$B$2:$B$101,"1")</f>
        <v>0</v>
      </c>
      <c r="C119" s="3">
        <f ca="1">COUNTIFS(DataInColumns!$E$2:$E$101,"0.1",DataInColumns!$B$2:$B$101,"1")</f>
        <v>0</v>
      </c>
      <c r="D119" s="3">
        <f ca="1">COUNTIFS(DataInColumns!$E$2:$E$101,"0.2",DataInColumns!$B$2:$B$101,"1")</f>
        <v>3</v>
      </c>
      <c r="E119" s="3">
        <f ca="1">COUNTIFS(DataInColumns!$E$2:$E$101,"0.3",DataInColumns!$B$2:$B$101,"1")</f>
        <v>7</v>
      </c>
      <c r="F119" s="3">
        <f ca="1">COUNTIFS(DataInColumns!$E$2:$E$101,"0.4",DataInColumns!$B$2:$B$101,"1")</f>
        <v>7</v>
      </c>
      <c r="G119" s="3">
        <f ca="1">COUNTIFS(DataInColumns!$E$2:$E$101,"0.5",DataInColumns!$B$2:$B$101,"1")</f>
        <v>2</v>
      </c>
      <c r="H119" s="3">
        <f ca="1">COUNTIFS(DataInColumns!$E$2:$E$101,"0.6",DataInColumns!$B$2:$B$101,"1")</f>
        <v>7</v>
      </c>
      <c r="I119" s="3">
        <f ca="1">COUNTIFS(DataInColumns!$E$2:$E$101,"0.7",DataInColumns!$B$2:$B$101,"1")</f>
        <v>4</v>
      </c>
      <c r="J119" s="3">
        <f ca="1">COUNTIFS(DataInColumns!$E$2:$E$101,"0.8",DataInColumns!$B$2:$B$101,"1")</f>
        <v>12</v>
      </c>
      <c r="K119" s="3">
        <f ca="1">COUNTIFS(DataInColumns!$E$2:$E$101,"0.9",DataInColumns!$B$2:$B$101,"1")</f>
        <v>5</v>
      </c>
      <c r="L119" s="3">
        <f ca="1">COUNTIFS(DataInColumns!$E$2:$E$101,"1",DataInColumns!$B$2:$B$101,"1")</f>
        <v>4</v>
      </c>
    </row>
    <row r="120" spans="1:13" x14ac:dyDescent="0.2">
      <c r="A120" s="2" t="s">
        <v>259</v>
      </c>
      <c r="B120" s="3">
        <f ca="1">COUNTIFS(DataInColumns!$E$2:$E$101,"0",DataInColumns!$B$2:$B$101,"0")</f>
        <v>3</v>
      </c>
      <c r="C120" s="3">
        <f ca="1">COUNTIFS(DataInColumns!$E$2:$E$101,"0.1",DataInColumns!$B$2:$B$101,"0")</f>
        <v>8</v>
      </c>
      <c r="D120" s="3">
        <f ca="1">COUNTIFS(DataInColumns!$E$2:$E$101,"0.2",DataInColumns!$B$2:$B$101,"0")</f>
        <v>6</v>
      </c>
      <c r="E120" s="3">
        <f ca="1">COUNTIFS(DataInColumns!$E$2:$E$101,"0.3",DataInColumns!$B$2:$B$101,"0")</f>
        <v>5</v>
      </c>
      <c r="F120" s="3">
        <f ca="1">COUNTIFS(DataInColumns!$E$2:$E$101,"0.4",DataInColumns!$B$2:$B$101,"0")</f>
        <v>6</v>
      </c>
      <c r="G120" s="3">
        <f ca="1">COUNTIFS(DataInColumns!$E$2:$E$101,"0.5",DataInColumns!$B$2:$B$101,"0")</f>
        <v>8</v>
      </c>
      <c r="H120" s="3">
        <f ca="1">COUNTIFS(DataInColumns!$E$2:$E$101,"0.6",DataInColumns!$B$2:$B$101,"0")</f>
        <v>5</v>
      </c>
      <c r="I120" s="3">
        <f ca="1">COUNTIFS(DataInColumns!$E$2:$E$101,"0.7",DataInColumns!$B$2:$B$101,"0")</f>
        <v>4</v>
      </c>
      <c r="J120" s="3">
        <f ca="1">COUNTIFS(DataInColumns!$E$2:$E$101,"0.8",DataInColumns!$B$2:$B$101,"0")</f>
        <v>4</v>
      </c>
      <c r="K120" s="3">
        <f ca="1">COUNTIFS(DataInColumns!$E$2:$E$101,"0.9",DataInColumns!$B$2:$B$101,"0")</f>
        <v>0</v>
      </c>
      <c r="L120" s="3">
        <f ca="1">COUNTIFS(DataInColumns!$E$2:$E$101,"1",DataInColumns!$B$2:$B$101,"0")</f>
        <v>0</v>
      </c>
    </row>
    <row r="121" spans="1:13" x14ac:dyDescent="0.2">
      <c r="K121"/>
    </row>
    <row r="122" spans="1:13" x14ac:dyDescent="0.2">
      <c r="A122" s="4" t="s">
        <v>127</v>
      </c>
      <c r="B122" s="4">
        <f ca="1">SUM(B119:B120)</f>
        <v>3</v>
      </c>
      <c r="C122" s="4">
        <f t="shared" ref="C122:L122" ca="1" si="4">SUM(C119:C120)</f>
        <v>8</v>
      </c>
      <c r="D122" s="4">
        <f t="shared" ca="1" si="4"/>
        <v>9</v>
      </c>
      <c r="E122" s="4">
        <f t="shared" ca="1" si="4"/>
        <v>12</v>
      </c>
      <c r="F122" s="4">
        <f t="shared" ca="1" si="4"/>
        <v>13</v>
      </c>
      <c r="G122" s="4">
        <f t="shared" ca="1" si="4"/>
        <v>10</v>
      </c>
      <c r="H122" s="4">
        <f t="shared" ca="1" si="4"/>
        <v>12</v>
      </c>
      <c r="I122" s="4">
        <f t="shared" ca="1" si="4"/>
        <v>8</v>
      </c>
      <c r="J122" s="4">
        <f t="shared" ca="1" si="4"/>
        <v>16</v>
      </c>
      <c r="K122" s="4">
        <f t="shared" ca="1" si="4"/>
        <v>5</v>
      </c>
      <c r="L122" s="4">
        <f t="shared" ca="1" si="4"/>
        <v>4</v>
      </c>
      <c r="M122" s="4">
        <f ca="1">SUM(B122:L122)</f>
        <v>100</v>
      </c>
    </row>
  </sheetData>
  <mergeCells count="2">
    <mergeCell ref="A1:K1"/>
    <mergeCell ref="B117:H117"/>
  </mergeCells>
  <pageMargins left="0.7" right="0.7" top="0.75" bottom="0.75" header="0.3" footer="0.3"/>
  <pageSetup orientation="portrait" r:id="rId1"/>
  <legacy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K18"/>
  <sheetViews>
    <sheetView workbookViewId="0">
      <selection activeCell="D23" sqref="D23"/>
    </sheetView>
  </sheetViews>
  <sheetFormatPr defaultRowHeight="12.75" x14ac:dyDescent="0.2"/>
  <cols>
    <col min="1" max="1" width="11.7109375" customWidth="1"/>
  </cols>
  <sheetData>
    <row r="1" spans="1:11" x14ac:dyDescent="0.2">
      <c r="A1" s="2" t="s">
        <v>338</v>
      </c>
      <c r="B1" s="2" t="s">
        <v>339</v>
      </c>
      <c r="C1" s="2" t="s">
        <v>340</v>
      </c>
      <c r="D1" s="2" t="s">
        <v>341</v>
      </c>
      <c r="E1" s="2" t="s">
        <v>342</v>
      </c>
      <c r="F1" s="2" t="s">
        <v>260</v>
      </c>
      <c r="G1" s="2" t="s">
        <v>343</v>
      </c>
      <c r="H1" s="2" t="s">
        <v>344</v>
      </c>
      <c r="I1" s="2" t="s">
        <v>345</v>
      </c>
      <c r="J1" s="2" t="s">
        <v>346</v>
      </c>
      <c r="K1" s="2" t="s">
        <v>347</v>
      </c>
    </row>
    <row r="2" spans="1:11" x14ac:dyDescent="0.2">
      <c r="A2" s="2" t="s">
        <v>335</v>
      </c>
      <c r="B2" s="2">
        <v>0.15899999999999997</v>
      </c>
      <c r="C2" s="2">
        <v>0.10055263157894738</v>
      </c>
      <c r="D2" s="2">
        <v>9.5526315789473664E-3</v>
      </c>
      <c r="E2" s="2">
        <v>7.4000000000000177E-2</v>
      </c>
      <c r="F2" s="2">
        <v>0.40800000000000003</v>
      </c>
      <c r="G2" s="2">
        <v>6.5907999999999897E-2</v>
      </c>
      <c r="H2" s="82"/>
      <c r="I2" s="82"/>
      <c r="J2" s="82"/>
      <c r="K2" s="82" t="s">
        <v>273</v>
      </c>
    </row>
    <row r="3" spans="1:11" x14ac:dyDescent="0.2">
      <c r="A3" s="2" t="s">
        <v>278</v>
      </c>
      <c r="B3" s="2">
        <v>0.10859999999999996</v>
      </c>
      <c r="C3" s="2">
        <v>0.14266666666666666</v>
      </c>
      <c r="D3" s="2">
        <v>1.2666666666666659E-3</v>
      </c>
      <c r="E3" s="2">
        <v>-4.0000000000000036E-3</v>
      </c>
      <c r="F3" s="2">
        <v>0.54799999999999993</v>
      </c>
      <c r="G3" s="2">
        <v>5.750799999999999E-2</v>
      </c>
      <c r="H3" s="82">
        <v>22</v>
      </c>
      <c r="I3" s="82" t="s">
        <v>279</v>
      </c>
      <c r="J3" s="82" t="s">
        <v>271</v>
      </c>
      <c r="K3" s="82" t="s">
        <v>273</v>
      </c>
    </row>
    <row r="4" spans="1:11" x14ac:dyDescent="0.2">
      <c r="A4" s="2" t="s">
        <v>275</v>
      </c>
      <c r="B4" s="2">
        <v>0.15769999999999998</v>
      </c>
      <c r="C4" s="2">
        <v>0.11178571428571427</v>
      </c>
      <c r="D4" s="2">
        <v>1.948571428571429E-2</v>
      </c>
      <c r="E4" s="2">
        <v>2.300000000000002E-2</v>
      </c>
      <c r="F4" s="2">
        <v>0.42599999999999999</v>
      </c>
      <c r="G4" s="2">
        <v>7.4802000000000035E-2</v>
      </c>
      <c r="H4" s="82">
        <v>0</v>
      </c>
      <c r="I4" s="82" t="s">
        <v>277</v>
      </c>
      <c r="J4" s="82" t="s">
        <v>276</v>
      </c>
      <c r="K4" s="82" t="s">
        <v>269</v>
      </c>
    </row>
    <row r="5" spans="1:11" x14ac:dyDescent="0.2">
      <c r="A5" s="2"/>
      <c r="B5" s="2">
        <v>0.18859999999999996</v>
      </c>
      <c r="C5" s="2">
        <v>0.10190909090909091</v>
      </c>
      <c r="D5" s="2">
        <v>4.0509090909090897E-2</v>
      </c>
      <c r="E5" s="2">
        <v>7.999999999999996E-2</v>
      </c>
      <c r="F5" s="2">
        <v>0.29599999999999993</v>
      </c>
      <c r="G5" s="2">
        <v>5.8296000000000209E-2</v>
      </c>
      <c r="H5" s="82">
        <v>13</v>
      </c>
      <c r="I5" s="82" t="s">
        <v>272</v>
      </c>
      <c r="J5" s="82" t="s">
        <v>271</v>
      </c>
      <c r="K5" s="82" t="s">
        <v>273</v>
      </c>
    </row>
    <row r="6" spans="1:11" x14ac:dyDescent="0.2">
      <c r="A6" s="2" t="s">
        <v>332</v>
      </c>
      <c r="B6" s="2">
        <v>0.16049999999999998</v>
      </c>
      <c r="C6" s="2">
        <v>0.11711544011544012</v>
      </c>
      <c r="D6" s="2">
        <v>2.7615440115440117E-2</v>
      </c>
      <c r="E6" s="2">
        <v>1.6999999999999904E-2</v>
      </c>
      <c r="F6" s="2">
        <v>0.40599999999999981</v>
      </c>
      <c r="G6" s="2">
        <v>7.2002000000000149E-2</v>
      </c>
      <c r="H6" s="82">
        <v>13</v>
      </c>
      <c r="I6" s="82" t="s">
        <v>334</v>
      </c>
      <c r="J6" s="82" t="s">
        <v>333</v>
      </c>
      <c r="K6" s="82" t="s">
        <v>269</v>
      </c>
    </row>
    <row r="7" spans="1:11" x14ac:dyDescent="0.2">
      <c r="A7" s="2" t="s">
        <v>329</v>
      </c>
      <c r="B7" s="2">
        <v>0.1716</v>
      </c>
      <c r="C7" s="2">
        <v>0.10003754578754577</v>
      </c>
      <c r="D7" s="2">
        <v>2.163754578754579E-2</v>
      </c>
      <c r="E7" s="2">
        <v>5.3999999999999937E-2</v>
      </c>
      <c r="F7" s="2">
        <v>0.3879999999999999</v>
      </c>
      <c r="G7" s="2">
        <v>7.5047999999999934E-2</v>
      </c>
      <c r="H7" s="82">
        <v>5</v>
      </c>
      <c r="I7" s="82" t="s">
        <v>331</v>
      </c>
      <c r="J7" s="82" t="s">
        <v>330</v>
      </c>
      <c r="K7" s="82" t="s">
        <v>125</v>
      </c>
    </row>
    <row r="8" spans="1:11" x14ac:dyDescent="0.2">
      <c r="A8" s="2" t="s">
        <v>328</v>
      </c>
      <c r="B8" s="2">
        <v>9.6099999999999991E-2</v>
      </c>
      <c r="C8" s="2">
        <v>0.16470302099334358</v>
      </c>
      <c r="D8" s="2">
        <v>1.0803020993343572E-2</v>
      </c>
      <c r="E8" s="2">
        <v>3.1000000000000028E-2</v>
      </c>
      <c r="F8" s="2">
        <v>0.67400000000000004</v>
      </c>
      <c r="G8" s="2">
        <v>6.8569999999999964E-2</v>
      </c>
      <c r="H8" s="82"/>
      <c r="I8" s="82"/>
      <c r="J8" s="82"/>
      <c r="K8" s="82" t="s">
        <v>269</v>
      </c>
    </row>
    <row r="9" spans="1:11" x14ac:dyDescent="0.2">
      <c r="A9" s="2" t="s">
        <v>325</v>
      </c>
      <c r="B9" s="2">
        <v>0.20039999999999999</v>
      </c>
      <c r="C9" s="2">
        <v>9.4933621933621926E-2</v>
      </c>
      <c r="D9" s="2">
        <v>4.5333621933621934E-2</v>
      </c>
      <c r="E9" s="2">
        <v>-2.200000000000002E-2</v>
      </c>
      <c r="F9" s="2">
        <v>0.3279999999999999</v>
      </c>
      <c r="G9" s="2">
        <v>8.7020000000000083E-2</v>
      </c>
      <c r="H9" s="82">
        <v>2</v>
      </c>
      <c r="I9" s="82" t="s">
        <v>327</v>
      </c>
      <c r="J9" s="82" t="s">
        <v>326</v>
      </c>
      <c r="K9" s="82" t="s">
        <v>269</v>
      </c>
    </row>
    <row r="10" spans="1:11" x14ac:dyDescent="0.2">
      <c r="A10" s="2" t="s">
        <v>321</v>
      </c>
      <c r="B10" s="2">
        <v>0.22969999999999999</v>
      </c>
      <c r="C10" s="2">
        <v>6.2971320346320359E-2</v>
      </c>
      <c r="D10" s="2">
        <v>4.2671320346320346E-2</v>
      </c>
      <c r="E10" s="2">
        <v>6.2999999999999945E-2</v>
      </c>
      <c r="F10" s="2">
        <v>0.37000000000000011</v>
      </c>
      <c r="G10" s="2">
        <v>0.12650600000000006</v>
      </c>
      <c r="H10" s="82">
        <v>0</v>
      </c>
      <c r="I10" s="82" t="s">
        <v>323</v>
      </c>
      <c r="J10" s="82" t="s">
        <v>322</v>
      </c>
      <c r="K10" s="82" t="s">
        <v>324</v>
      </c>
    </row>
    <row r="11" spans="1:11" x14ac:dyDescent="0.2">
      <c r="A11" s="2" t="s">
        <v>318</v>
      </c>
      <c r="B11" s="2">
        <v>0.15559999999999999</v>
      </c>
      <c r="C11" s="2">
        <v>0.10357420357420356</v>
      </c>
      <c r="D11" s="2">
        <v>9.1742035742035759E-3</v>
      </c>
      <c r="E11" s="2">
        <v>-3.7999999999999978E-2</v>
      </c>
      <c r="F11" s="2">
        <v>0.42000000000000015</v>
      </c>
      <c r="G11" s="2">
        <v>7.0055999999999938E-2</v>
      </c>
      <c r="H11" s="82">
        <v>0</v>
      </c>
      <c r="I11" s="82" t="s">
        <v>320</v>
      </c>
      <c r="J11" s="82" t="s">
        <v>319</v>
      </c>
      <c r="K11" s="82" t="s">
        <v>273</v>
      </c>
    </row>
    <row r="12" spans="1:11" x14ac:dyDescent="0.2">
      <c r="A12" s="2" t="s">
        <v>316</v>
      </c>
      <c r="B12" s="2">
        <v>0.1867</v>
      </c>
      <c r="C12" s="2">
        <v>7.3881807081807083E-2</v>
      </c>
      <c r="D12" s="2">
        <v>1.0581807081807082E-2</v>
      </c>
      <c r="E12" s="2">
        <v>3.8999999999999924E-2</v>
      </c>
      <c r="F12" s="2">
        <v>0.28599999999999987</v>
      </c>
      <c r="G12" s="2">
        <v>5.7729999999999969E-2</v>
      </c>
      <c r="H12" s="82">
        <v>0.5</v>
      </c>
      <c r="I12" s="82" t="s">
        <v>317</v>
      </c>
      <c r="J12" s="82" t="s">
        <v>276</v>
      </c>
      <c r="K12" s="82" t="s">
        <v>273</v>
      </c>
    </row>
    <row r="13" spans="1:11" x14ac:dyDescent="0.2">
      <c r="A13" s="2" t="s">
        <v>315</v>
      </c>
      <c r="B13" s="2">
        <v>0.17180000000000001</v>
      </c>
      <c r="C13" s="2">
        <v>8.9500517598343696E-2</v>
      </c>
      <c r="D13" s="2">
        <v>1.1300517598343685E-2</v>
      </c>
      <c r="E13" s="2">
        <v>2.9999999999999805E-2</v>
      </c>
      <c r="F13" s="2">
        <v>0.3399999999999998</v>
      </c>
      <c r="G13" s="2">
        <v>6.2000000000000118E-2</v>
      </c>
      <c r="H13" s="82">
        <v>7</v>
      </c>
      <c r="I13" s="82" t="s">
        <v>279</v>
      </c>
      <c r="J13" s="82" t="s">
        <v>271</v>
      </c>
      <c r="K13" s="82" t="s">
        <v>269</v>
      </c>
    </row>
    <row r="14" spans="1:11" x14ac:dyDescent="0.2">
      <c r="A14" s="2" t="s">
        <v>313</v>
      </c>
      <c r="B14" s="2">
        <v>0.1522</v>
      </c>
      <c r="C14" s="2">
        <v>0.11411813186813187</v>
      </c>
      <c r="D14" s="2">
        <v>1.6318131868131865E-2</v>
      </c>
      <c r="E14" s="2">
        <v>3.1999999999999917E-2</v>
      </c>
      <c r="F14" s="2">
        <v>0.52399999999999991</v>
      </c>
      <c r="G14" s="2">
        <v>9.453200000000006E-2</v>
      </c>
      <c r="H14" s="82">
        <v>0</v>
      </c>
      <c r="I14" s="82" t="s">
        <v>314</v>
      </c>
      <c r="J14" s="82" t="s">
        <v>271</v>
      </c>
      <c r="K14" s="82" t="s">
        <v>273</v>
      </c>
    </row>
    <row r="15" spans="1:11" x14ac:dyDescent="0.2">
      <c r="A15" s="2"/>
      <c r="B15" s="2">
        <v>0.22869999999999999</v>
      </c>
      <c r="C15" s="2">
        <v>4.9774977895667559E-2</v>
      </c>
      <c r="D15" s="2">
        <v>2.8474977895667549E-2</v>
      </c>
      <c r="E15" s="2">
        <v>5.1000000000000045E-2</v>
      </c>
      <c r="F15" s="2">
        <v>0.22200000000000009</v>
      </c>
      <c r="G15" s="2">
        <v>7.4777999999999997E-2</v>
      </c>
      <c r="H15" s="82"/>
      <c r="I15" s="82"/>
      <c r="J15" s="82"/>
      <c r="K15" s="82" t="s">
        <v>311</v>
      </c>
    </row>
    <row r="16" spans="1:11" x14ac:dyDescent="0.2">
      <c r="A16" s="2" t="s">
        <v>307</v>
      </c>
      <c r="B16" s="2">
        <v>0.2823</v>
      </c>
      <c r="C16" s="2">
        <v>1.9243412384716729E-2</v>
      </c>
      <c r="D16" s="2">
        <v>5.1543412384716748E-2</v>
      </c>
      <c r="E16" s="2">
        <v>0.13700000000000001</v>
      </c>
      <c r="F16" s="2">
        <v>0.16999999999999993</v>
      </c>
      <c r="G16" s="2">
        <v>9.1306000000000193E-2</v>
      </c>
      <c r="H16" s="82">
        <v>12</v>
      </c>
      <c r="I16" s="82" t="s">
        <v>309</v>
      </c>
      <c r="J16" s="82" t="s">
        <v>308</v>
      </c>
      <c r="K16" s="82" t="s">
        <v>269</v>
      </c>
    </row>
    <row r="17" spans="1:11" x14ac:dyDescent="0.2">
      <c r="A17" s="2" t="s">
        <v>336</v>
      </c>
      <c r="B17" s="2">
        <v>0.17309999999999995</v>
      </c>
      <c r="C17" s="2">
        <v>9.6222222222222223E-2</v>
      </c>
      <c r="D17" s="2">
        <v>1.932222222222222E-2</v>
      </c>
      <c r="E17" s="2">
        <v>3.9000000000000035E-2</v>
      </c>
      <c r="F17" s="2">
        <v>0.34599999999999992</v>
      </c>
      <c r="G17" s="2">
        <v>6.4650000000000013E-2</v>
      </c>
      <c r="H17">
        <v>7</v>
      </c>
      <c r="I17" t="s">
        <v>337</v>
      </c>
      <c r="J17" t="s">
        <v>326</v>
      </c>
      <c r="K17" t="s">
        <v>324</v>
      </c>
    </row>
    <row r="18" spans="1:11" x14ac:dyDescent="0.2">
      <c r="B18">
        <f>PEARSON(B2:B17,$H$2:$H$17)</f>
        <v>-0.16612764515494066</v>
      </c>
      <c r="C18">
        <f>PEARSON(C2:C17,$H$2:$H$17)</f>
        <v>0.21762459863025099</v>
      </c>
      <c r="D18">
        <f>PEARSON(D2:D17,H2:H17)</f>
        <v>-2.6591763861846661E-2</v>
      </c>
      <c r="E18">
        <f>PEARSON(E2:E17,$H$2:$H$17)</f>
        <v>0.19293750641173885</v>
      </c>
      <c r="F18">
        <f>PEARSON(F2:F17,$H$2:$H$17)</f>
        <v>4.4548293546625164E-2</v>
      </c>
      <c r="G18">
        <f>PEARSON(G2:G17,$H$2:$H$17)</f>
        <v>-0.42463981226716307</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3</vt:i4>
      </vt:variant>
    </vt:vector>
  </HeadingPairs>
  <TitlesOfParts>
    <vt:vector size="15" baseType="lpstr">
      <vt:lpstr>MonkeyPaste</vt:lpstr>
      <vt:lpstr>DataInColumns</vt:lpstr>
      <vt:lpstr>Mean PS</vt:lpstr>
      <vt:lpstr>Murphy Decomp</vt:lpstr>
      <vt:lpstr>Var(d)</vt:lpstr>
      <vt:lpstr>DI</vt:lpstr>
      <vt:lpstr>CI</vt:lpstr>
      <vt:lpstr>Cov Decomp</vt:lpstr>
      <vt:lpstr>Bias</vt:lpstr>
      <vt:lpstr>Slope</vt:lpstr>
      <vt:lpstr>Scatter</vt:lpstr>
      <vt:lpstr>SsInfo</vt:lpstr>
      <vt:lpstr>'Cov Decomp'!Print_Area</vt:lpstr>
      <vt:lpstr>DataInColumns!Print_Area</vt:lpstr>
      <vt:lpstr>'Murphy Decomp'!Print_Area</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James Kajdasz</dc:creator>
  <cp:lastModifiedBy>James Kajdasz</cp:lastModifiedBy>
  <cp:lastPrinted>2011-03-10T22:16:42Z</cp:lastPrinted>
  <dcterms:created xsi:type="dcterms:W3CDTF">2011-02-01T18:02:23Z</dcterms:created>
  <dcterms:modified xsi:type="dcterms:W3CDTF">2016-11-09T19:05:08Z</dcterms:modified>
</cp:coreProperties>
</file>